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XGU\Desktop\"/>
    </mc:Choice>
  </mc:AlternateContent>
  <xr:revisionPtr revIDLastSave="0" documentId="13_ncr:1_{0CC462EC-1BEA-4184-9678-A03B16924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4" i="1" l="1"/>
  <c r="F64" i="1"/>
  <c r="M58" i="1"/>
  <c r="M59" i="1"/>
  <c r="M60" i="1"/>
  <c r="M61" i="1"/>
  <c r="M62" i="1"/>
  <c r="M63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30" i="1"/>
  <c r="M29" i="1"/>
  <c r="M28" i="1"/>
  <c r="J32" i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31" i="1"/>
  <c r="J30" i="1"/>
  <c r="J29" i="1"/>
  <c r="J28" i="1"/>
  <c r="J27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4" i="1"/>
  <c r="G59" i="1"/>
  <c r="G60" i="1"/>
  <c r="G61" i="1"/>
  <c r="G62" i="1"/>
  <c r="G63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6" i="1"/>
  <c r="G7" i="1"/>
  <c r="G8" i="1"/>
  <c r="G9" i="1"/>
  <c r="G5" i="1"/>
  <c r="G4" i="1"/>
  <c r="F60" i="1"/>
  <c r="F59" i="1"/>
  <c r="D59" i="1"/>
  <c r="D60" i="1" s="1"/>
  <c r="D61" i="1" s="1"/>
  <c r="D62" i="1" s="1"/>
  <c r="D63" i="1" s="1"/>
  <c r="D6" i="1"/>
  <c r="D7" i="1"/>
  <c r="D8" i="1"/>
  <c r="D9" i="1"/>
  <c r="D10" i="1"/>
  <c r="D11" i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" i="1"/>
  <c r="D4" i="1"/>
  <c r="D3" i="1"/>
  <c r="L3" i="1"/>
  <c r="F3" i="1"/>
  <c r="G3" i="1"/>
  <c r="A8" i="1"/>
  <c r="C4" i="1" s="1"/>
  <c r="A14" i="1"/>
  <c r="I3" i="1"/>
  <c r="A10" i="1"/>
  <c r="A16" i="1"/>
  <c r="J3" i="1"/>
  <c r="K3" i="1" s="1"/>
  <c r="C3" i="1"/>
  <c r="E4" i="1" l="1"/>
  <c r="I4" i="1"/>
  <c r="I5" i="1" s="1"/>
  <c r="E3" i="1"/>
  <c r="C5" i="1"/>
  <c r="F4" i="1" l="1"/>
  <c r="E5" i="1"/>
  <c r="F5" i="1" s="1"/>
  <c r="C6" i="1"/>
  <c r="K4" i="1"/>
  <c r="I6" i="1"/>
  <c r="I7" i="1"/>
  <c r="L4" i="1" l="1"/>
  <c r="C7" i="1"/>
  <c r="K5" i="1"/>
  <c r="I8" i="1"/>
  <c r="L6" i="1" l="1"/>
  <c r="L5" i="1"/>
  <c r="E7" i="1"/>
  <c r="E6" i="1"/>
  <c r="C8" i="1"/>
  <c r="K6" i="1"/>
  <c r="I9" i="1"/>
  <c r="F6" i="1" l="1"/>
  <c r="F7" i="1"/>
  <c r="E8" i="1"/>
  <c r="F8" i="1" s="1"/>
  <c r="K7" i="1"/>
  <c r="C9" i="1"/>
  <c r="I10" i="1"/>
  <c r="L7" i="1" l="1"/>
  <c r="E9" i="1"/>
  <c r="C10" i="1"/>
  <c r="K8" i="1"/>
  <c r="I11" i="1"/>
  <c r="L8" i="1" l="1"/>
  <c r="F9" i="1"/>
  <c r="E10" i="1"/>
  <c r="F10" i="1" s="1"/>
  <c r="K9" i="1"/>
  <c r="C11" i="1"/>
  <c r="I12" i="1"/>
  <c r="L9" i="1" l="1"/>
  <c r="C12" i="1"/>
  <c r="E11" i="1"/>
  <c r="K10" i="1"/>
  <c r="I13" i="1"/>
  <c r="L10" i="1" l="1"/>
  <c r="F11" i="1"/>
  <c r="K11" i="1"/>
  <c r="E12" i="1"/>
  <c r="F12" i="1" s="1"/>
  <c r="C13" i="1"/>
  <c r="I14" i="1"/>
  <c r="L11" i="1" l="1"/>
  <c r="C14" i="1"/>
  <c r="E13" i="1"/>
  <c r="K12" i="1"/>
  <c r="L12" i="1" s="1"/>
  <c r="I15" i="1"/>
  <c r="F13" i="1" l="1"/>
  <c r="K13" i="1"/>
  <c r="L13" i="1" s="1"/>
  <c r="E14" i="1"/>
  <c r="C15" i="1"/>
  <c r="I16" i="1"/>
  <c r="F14" i="1" l="1"/>
  <c r="C16" i="1"/>
  <c r="E15" i="1"/>
  <c r="K14" i="1"/>
  <c r="L14" i="1" s="1"/>
  <c r="I17" i="1"/>
  <c r="F15" i="1" l="1"/>
  <c r="K15" i="1"/>
  <c r="L15" i="1" s="1"/>
  <c r="E16" i="1"/>
  <c r="F16" i="1" s="1"/>
  <c r="C17" i="1"/>
  <c r="I18" i="1"/>
  <c r="C18" i="1" l="1"/>
  <c r="E17" i="1"/>
  <c r="F17" i="1" s="1"/>
  <c r="K16" i="1"/>
  <c r="L16" i="1" s="1"/>
  <c r="I19" i="1"/>
  <c r="K17" i="1" l="1"/>
  <c r="L17" i="1" s="1"/>
  <c r="E18" i="1"/>
  <c r="F18" i="1" s="1"/>
  <c r="C19" i="1"/>
  <c r="I20" i="1"/>
  <c r="C20" i="1" l="1"/>
  <c r="E19" i="1"/>
  <c r="F19" i="1" s="1"/>
  <c r="K18" i="1"/>
  <c r="L18" i="1" s="1"/>
  <c r="I21" i="1"/>
  <c r="C21" i="1" l="1"/>
  <c r="K19" i="1"/>
  <c r="L19" i="1" s="1"/>
  <c r="E20" i="1"/>
  <c r="F20" i="1" s="1"/>
  <c r="I22" i="1"/>
  <c r="E21" i="1" l="1"/>
  <c r="F21" i="1" s="1"/>
  <c r="K20" i="1"/>
  <c r="L20" i="1" s="1"/>
  <c r="C22" i="1"/>
  <c r="I23" i="1"/>
  <c r="C23" i="1" l="1"/>
  <c r="K21" i="1"/>
  <c r="L21" i="1" s="1"/>
  <c r="E22" i="1"/>
  <c r="F22" i="1" s="1"/>
  <c r="I24" i="1"/>
  <c r="E23" i="1" l="1"/>
  <c r="F23" i="1" s="1"/>
  <c r="K22" i="1"/>
  <c r="L22" i="1" s="1"/>
  <c r="C24" i="1"/>
  <c r="I25" i="1"/>
  <c r="C25" i="1" l="1"/>
  <c r="K23" i="1"/>
  <c r="L23" i="1" s="1"/>
  <c r="E24" i="1"/>
  <c r="F24" i="1" s="1"/>
  <c r="I26" i="1"/>
  <c r="E25" i="1" l="1"/>
  <c r="F25" i="1" s="1"/>
  <c r="K24" i="1"/>
  <c r="L24" i="1" s="1"/>
  <c r="C26" i="1"/>
  <c r="I27" i="1"/>
  <c r="K25" i="1" l="1"/>
  <c r="L25" i="1" s="1"/>
  <c r="C27" i="1"/>
  <c r="E26" i="1"/>
  <c r="F26" i="1" s="1"/>
  <c r="I28" i="1"/>
  <c r="C28" i="1" l="1"/>
  <c r="E27" i="1"/>
  <c r="F27" i="1" s="1"/>
  <c r="K26" i="1"/>
  <c r="L26" i="1" s="1"/>
  <c r="I29" i="1"/>
  <c r="K27" i="1" l="1"/>
  <c r="L27" i="1" s="1"/>
  <c r="E28" i="1"/>
  <c r="F28" i="1" s="1"/>
  <c r="C29" i="1"/>
  <c r="I30" i="1"/>
  <c r="C30" i="1" l="1"/>
  <c r="E29" i="1"/>
  <c r="F29" i="1" s="1"/>
  <c r="K28" i="1"/>
  <c r="L28" i="1" s="1"/>
  <c r="I31" i="1"/>
  <c r="K29" i="1" l="1"/>
  <c r="L29" i="1" s="1"/>
  <c r="E30" i="1"/>
  <c r="F30" i="1" s="1"/>
  <c r="C31" i="1"/>
  <c r="I32" i="1"/>
  <c r="C32" i="1" l="1"/>
  <c r="E31" i="1"/>
  <c r="F31" i="1" s="1"/>
  <c r="K30" i="1"/>
  <c r="L30" i="1" s="1"/>
  <c r="I33" i="1"/>
  <c r="K31" i="1" l="1"/>
  <c r="L31" i="1" s="1"/>
  <c r="E32" i="1"/>
  <c r="F32" i="1" s="1"/>
  <c r="C33" i="1"/>
  <c r="I34" i="1"/>
  <c r="C34" i="1" l="1"/>
  <c r="E33" i="1"/>
  <c r="F33" i="1" s="1"/>
  <c r="K32" i="1"/>
  <c r="L32" i="1" s="1"/>
  <c r="I35" i="1"/>
  <c r="K33" i="1" l="1"/>
  <c r="L33" i="1" s="1"/>
  <c r="E34" i="1"/>
  <c r="F34" i="1" s="1"/>
  <c r="C35" i="1"/>
  <c r="I36" i="1"/>
  <c r="E35" i="1" l="1"/>
  <c r="F35" i="1" s="1"/>
  <c r="C36" i="1"/>
  <c r="K34" i="1"/>
  <c r="L34" i="1" s="1"/>
  <c r="I37" i="1"/>
  <c r="E36" i="1" l="1"/>
  <c r="F36" i="1" s="1"/>
  <c r="K35" i="1"/>
  <c r="L35" i="1" s="1"/>
  <c r="C37" i="1"/>
  <c r="I38" i="1"/>
  <c r="C38" i="1" l="1"/>
  <c r="E37" i="1"/>
  <c r="F37" i="1" s="1"/>
  <c r="K36" i="1"/>
  <c r="L36" i="1" s="1"/>
  <c r="I39" i="1"/>
  <c r="E38" i="1" l="1"/>
  <c r="F38" i="1" s="1"/>
  <c r="K37" i="1"/>
  <c r="L37" i="1" s="1"/>
  <c r="C39" i="1"/>
  <c r="I40" i="1"/>
  <c r="C40" i="1" l="1"/>
  <c r="K38" i="1"/>
  <c r="L38" i="1" s="1"/>
  <c r="E39" i="1"/>
  <c r="F39" i="1" s="1"/>
  <c r="I41" i="1"/>
  <c r="K39" i="1" l="1"/>
  <c r="L39" i="1" s="1"/>
  <c r="E40" i="1"/>
  <c r="F40" i="1" s="1"/>
  <c r="C41" i="1"/>
  <c r="I42" i="1"/>
  <c r="C42" i="1" l="1"/>
  <c r="E41" i="1"/>
  <c r="F41" i="1" s="1"/>
  <c r="K40" i="1"/>
  <c r="L40" i="1" s="1"/>
  <c r="I43" i="1"/>
  <c r="K41" i="1" l="1"/>
  <c r="L41" i="1" s="1"/>
  <c r="E42" i="1"/>
  <c r="F42" i="1" s="1"/>
  <c r="C43" i="1"/>
  <c r="I44" i="1"/>
  <c r="C44" i="1" l="1"/>
  <c r="E43" i="1"/>
  <c r="F43" i="1" s="1"/>
  <c r="K42" i="1"/>
  <c r="L42" i="1" s="1"/>
  <c r="I45" i="1"/>
  <c r="E44" i="1" l="1"/>
  <c r="F44" i="1" s="1"/>
  <c r="K43" i="1"/>
  <c r="L43" i="1" s="1"/>
  <c r="C45" i="1"/>
  <c r="I46" i="1"/>
  <c r="C46" i="1" l="1"/>
  <c r="K44" i="1"/>
  <c r="L44" i="1" s="1"/>
  <c r="E45" i="1"/>
  <c r="F45" i="1" s="1"/>
  <c r="I47" i="1"/>
  <c r="E46" i="1" l="1"/>
  <c r="F46" i="1" s="1"/>
  <c r="K45" i="1"/>
  <c r="L45" i="1" s="1"/>
  <c r="C47" i="1"/>
  <c r="I48" i="1"/>
  <c r="C48" i="1" l="1"/>
  <c r="K46" i="1"/>
  <c r="L46" i="1" s="1"/>
  <c r="E47" i="1"/>
  <c r="F47" i="1" s="1"/>
  <c r="I49" i="1"/>
  <c r="K47" i="1" l="1"/>
  <c r="L47" i="1" s="1"/>
  <c r="E48" i="1"/>
  <c r="F48" i="1" s="1"/>
  <c r="C49" i="1"/>
  <c r="I50" i="1"/>
  <c r="C50" i="1" l="1"/>
  <c r="E49" i="1"/>
  <c r="F49" i="1" s="1"/>
  <c r="K48" i="1"/>
  <c r="L48" i="1" s="1"/>
  <c r="I51" i="1"/>
  <c r="K49" i="1" l="1"/>
  <c r="L49" i="1" s="1"/>
  <c r="E50" i="1"/>
  <c r="F50" i="1" s="1"/>
  <c r="C51" i="1"/>
  <c r="I52" i="1"/>
  <c r="C52" i="1" l="1"/>
  <c r="E51" i="1"/>
  <c r="F51" i="1" s="1"/>
  <c r="K50" i="1"/>
  <c r="L50" i="1" s="1"/>
  <c r="I53" i="1"/>
  <c r="E52" i="1" l="1"/>
  <c r="F52" i="1" s="1"/>
  <c r="K51" i="1"/>
  <c r="L51" i="1" s="1"/>
  <c r="C53" i="1"/>
  <c r="I54" i="1"/>
  <c r="C54" i="1" l="1"/>
  <c r="K52" i="1"/>
  <c r="L52" i="1" s="1"/>
  <c r="E53" i="1"/>
  <c r="F53" i="1" s="1"/>
  <c r="I55" i="1"/>
  <c r="K53" i="1" l="1"/>
  <c r="L53" i="1" s="1"/>
  <c r="E54" i="1"/>
  <c r="F54" i="1" s="1"/>
  <c r="C55" i="1"/>
  <c r="I56" i="1"/>
  <c r="C56" i="1" l="1"/>
  <c r="E55" i="1"/>
  <c r="F55" i="1" s="1"/>
  <c r="K54" i="1"/>
  <c r="L54" i="1" s="1"/>
  <c r="I57" i="1"/>
  <c r="E56" i="1" l="1"/>
  <c r="F56" i="1" s="1"/>
  <c r="K55" i="1"/>
  <c r="L55" i="1" s="1"/>
  <c r="C57" i="1"/>
  <c r="I58" i="1"/>
  <c r="C58" i="1" l="1"/>
  <c r="K56" i="1"/>
  <c r="L56" i="1" s="1"/>
  <c r="E57" i="1"/>
  <c r="F57" i="1" s="1"/>
  <c r="I59" i="1"/>
  <c r="K57" i="1" l="1"/>
  <c r="L57" i="1" s="1"/>
  <c r="E58" i="1"/>
  <c r="F58" i="1" s="1"/>
  <c r="C59" i="1"/>
  <c r="I60" i="1"/>
  <c r="C60" i="1" l="1"/>
  <c r="E59" i="1"/>
  <c r="K58" i="1"/>
  <c r="L58" i="1" s="1"/>
  <c r="I61" i="1"/>
  <c r="E60" i="1" l="1"/>
  <c r="K59" i="1"/>
  <c r="L59" i="1" s="1"/>
  <c r="C61" i="1"/>
  <c r="I62" i="1"/>
  <c r="C62" i="1" l="1"/>
  <c r="K60" i="1"/>
  <c r="L60" i="1" s="1"/>
  <c r="E61" i="1"/>
  <c r="F61" i="1" s="1"/>
  <c r="E62" i="1" l="1"/>
  <c r="F62" i="1" s="1"/>
  <c r="K61" i="1"/>
  <c r="L61" i="1" s="1"/>
  <c r="K62" i="1" l="1"/>
  <c r="L62" i="1" s="1"/>
  <c r="E63" i="1"/>
  <c r="F63" i="1" s="1"/>
  <c r="K63" i="1" l="1"/>
  <c r="L63" i="1" s="1"/>
</calcChain>
</file>

<file path=xl/sharedStrings.xml><?xml version="1.0" encoding="utf-8"?>
<sst xmlns="http://schemas.openxmlformats.org/spreadsheetml/2006/main" count="23" uniqueCount="14">
  <si>
    <t>投资理财年化收益率（单利）：</t>
    <phoneticPr fontId="1" type="noConversion"/>
  </si>
  <si>
    <t>期数</t>
    <phoneticPr fontId="1" type="noConversion"/>
  </si>
  <si>
    <t>贷款本金（元）：</t>
    <phoneticPr fontId="1" type="noConversion"/>
  </si>
  <si>
    <t>年费率：</t>
    <phoneticPr fontId="1" type="noConversion"/>
  </si>
  <si>
    <t>剩余本金</t>
    <phoneticPr fontId="1" type="noConversion"/>
  </si>
  <si>
    <t>剩余总金</t>
    <phoneticPr fontId="1" type="noConversion"/>
  </si>
  <si>
    <t>每期还款本金（元）：</t>
    <phoneticPr fontId="1" type="noConversion"/>
  </si>
  <si>
    <t>每期还款利息（元）：</t>
    <phoneticPr fontId="1" type="noConversion"/>
  </si>
  <si>
    <t>金融方案一</t>
    <phoneticPr fontId="1" type="noConversion"/>
  </si>
  <si>
    <t>每期理财投资收益</t>
    <phoneticPr fontId="1" type="noConversion"/>
  </si>
  <si>
    <t>不同期提还实付购车费（不考虑违约金）</t>
    <phoneticPr fontId="1" type="noConversion"/>
  </si>
  <si>
    <t>金融方案二</t>
    <phoneticPr fontId="1" type="noConversion"/>
  </si>
  <si>
    <t>实际一期年化贷款利率</t>
    <phoneticPr fontId="1" type="noConversion"/>
  </si>
  <si>
    <t>最小费用：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</si>
</sst>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2" fillId="2" borderId="2" xfId="0" applyFont="1" applyFill="1" applyBorder="1"/>
    <xf numFmtId="0" fontId="0" fillId="2" borderId="2" xfId="0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2" fillId="4" borderId="2" xfId="0" applyFont="1" applyFill="1" applyBorder="1"/>
    <xf numFmtId="0" fontId="0" fillId="4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2" fillId="5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金融方案</a:t>
            </a:r>
            <a:r>
              <a:rPr lang="en-US" altLang="zh-CN"/>
              <a:t>1 </a:t>
            </a:r>
            <a:r>
              <a:rPr lang="zh-CN" altLang="en-US"/>
              <a:t>一期年化实际利率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2984923174859989E-2"/>
          <c:y val="9.5048010324051968E-2"/>
          <c:w val="0.94956926844506839"/>
          <c:h val="0.8715251583978282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Sheet1!$G$3:$G$63</c:f>
              <c:numCache>
                <c:formatCode>General</c:formatCode>
                <c:ptCount val="61"/>
                <c:pt idx="0">
                  <c:v>1.7999999999999999E-2</c:v>
                </c:pt>
                <c:pt idx="1">
                  <c:v>1.8333050415879307E-2</c:v>
                </c:pt>
                <c:pt idx="2">
                  <c:v>1.8678657903829807E-2</c:v>
                </c:pt>
                <c:pt idx="3">
                  <c:v>1.9037546271803787E-2</c:v>
                </c:pt>
                <c:pt idx="4">
                  <c:v>1.9410496045999599E-2</c:v>
                </c:pt>
                <c:pt idx="5">
                  <c:v>1.9798350137477657E-2</c:v>
                </c:pt>
                <c:pt idx="6">
                  <c:v>2.0202020202008869E-2</c:v>
                </c:pt>
                <c:pt idx="7">
                  <c:v>2.0622493794145151E-2</c:v>
                </c:pt>
                <c:pt idx="8">
                  <c:v>2.1060842433685032E-2</c:v>
                </c:pt>
                <c:pt idx="9">
                  <c:v>2.1518230723238788E-2</c:v>
                </c:pt>
                <c:pt idx="10">
                  <c:v>2.1995926680230968E-2</c:v>
                </c:pt>
                <c:pt idx="11">
                  <c:v>2.2495313476345046E-2</c:v>
                </c:pt>
                <c:pt idx="12">
                  <c:v>2.301790281328453E-2</c:v>
                </c:pt>
                <c:pt idx="13">
                  <c:v>2.3565350207272392E-2</c:v>
                </c:pt>
                <c:pt idx="14">
                  <c:v>2.4139472507806806E-2</c:v>
                </c:pt>
                <c:pt idx="15">
                  <c:v>2.4742268041220129E-2</c:v>
                </c:pt>
                <c:pt idx="16">
                  <c:v>2.5375939849606198E-2</c:v>
                </c:pt>
                <c:pt idx="17">
                  <c:v>2.6042922594627919E-2</c:v>
                </c:pt>
                <c:pt idx="18">
                  <c:v>2.67459138187023E-2</c:v>
                </c:pt>
                <c:pt idx="19">
                  <c:v>2.7487910409752521E-2</c:v>
                </c:pt>
                <c:pt idx="20">
                  <c:v>2.8272251308878352E-2</c:v>
                </c:pt>
                <c:pt idx="21">
                  <c:v>2.9102667744519761E-2</c:v>
                </c:pt>
                <c:pt idx="22">
                  <c:v>2.9983342587426482E-2</c:v>
                </c:pt>
                <c:pt idx="23">
                  <c:v>3.09189808187539E-2</c:v>
                </c:pt>
                <c:pt idx="24">
                  <c:v>3.1914893616993026E-2</c:v>
                </c:pt>
                <c:pt idx="25">
                  <c:v>3.2977099236611053E-2</c:v>
                </c:pt>
                <c:pt idx="26">
                  <c:v>3.4112444725173025E-2</c:v>
                </c:pt>
                <c:pt idx="27">
                  <c:v>3.532875368004388E-2</c:v>
                </c:pt>
                <c:pt idx="28">
                  <c:v>3.6635006784223281E-2</c:v>
                </c:pt>
                <c:pt idx="29">
                  <c:v>3.8041563930921451E-2</c:v>
                </c:pt>
                <c:pt idx="30">
                  <c:v>3.9560439560396135E-2</c:v>
                </c:pt>
                <c:pt idx="31">
                  <c:v>4.1205646699685815E-2</c:v>
                </c:pt>
                <c:pt idx="32">
                  <c:v>4.299363057319712E-2</c:v>
                </c:pt>
                <c:pt idx="33">
                  <c:v>4.4943820224663047E-2</c:v>
                </c:pt>
                <c:pt idx="34">
                  <c:v>4.7079337401856533E-2</c:v>
                </c:pt>
                <c:pt idx="35">
                  <c:v>4.9427917620069498E-2</c:v>
                </c:pt>
                <c:pt idx="36">
                  <c:v>5.2023121387208125E-2</c:v>
                </c:pt>
                <c:pt idx="37">
                  <c:v>5.4905948144298639E-2</c:v>
                </c:pt>
                <c:pt idx="38">
                  <c:v>5.8127018299152733E-2</c:v>
                </c:pt>
                <c:pt idx="39">
                  <c:v>6.174957118342763E-2</c:v>
                </c:pt>
                <c:pt idx="40">
                  <c:v>6.5853658536465007E-2</c:v>
                </c:pt>
                <c:pt idx="41">
                  <c:v>7.054212932709901E-2</c:v>
                </c:pt>
                <c:pt idx="42">
                  <c:v>7.5949367088447517E-2</c:v>
                </c:pt>
                <c:pt idx="43">
                  <c:v>8.2254379283894508E-2</c:v>
                </c:pt>
                <c:pt idx="44">
                  <c:v>8.9700996677517589E-2</c:v>
                </c:pt>
                <c:pt idx="45">
                  <c:v>9.8630136986031458E-2</c:v>
                </c:pt>
                <c:pt idx="46">
                  <c:v>0.10953346855950483</c:v>
                </c:pt>
                <c:pt idx="47">
                  <c:v>0.12314709235989849</c:v>
                </c:pt>
                <c:pt idx="48">
                  <c:v>0.1406249999994513</c:v>
                </c:pt>
                <c:pt idx="49">
                  <c:v>0.16388467374735796</c:v>
                </c:pt>
                <c:pt idx="50">
                  <c:v>0.19636363636256648</c:v>
                </c:pt>
                <c:pt idx="51">
                  <c:v>0.24489795918200935</c:v>
                </c:pt>
                <c:pt idx="52">
                  <c:v>0.32530120481634095</c:v>
                </c:pt>
                <c:pt idx="53">
                  <c:v>0.48430493272891817</c:v>
                </c:pt>
                <c:pt idx="54">
                  <c:v>0.94736842102772978</c:v>
                </c:pt>
                <c:pt idx="55">
                  <c:v>21.599999987055096</c:v>
                </c:pt>
                <c:pt idx="56">
                  <c:v>35999999999.999992</c:v>
                </c:pt>
                <c:pt idx="57">
                  <c:v>35999999999.999992</c:v>
                </c:pt>
                <c:pt idx="58">
                  <c:v>35999999999.999992</c:v>
                </c:pt>
                <c:pt idx="59">
                  <c:v>35999999999.999992</c:v>
                </c:pt>
                <c:pt idx="60">
                  <c:v>35999999999.999992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4-4777-8C11-942B484E8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119160"/>
        <c:axId val="415118080"/>
      </c:lineChart>
      <c:catAx>
        <c:axId val="415119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118080"/>
        <c:crosses val="autoZero"/>
        <c:auto val="1"/>
        <c:lblAlgn val="ctr"/>
        <c:lblOffset val="100"/>
        <c:noMultiLvlLbl val="0"/>
      </c:catAx>
      <c:valAx>
        <c:axId val="4151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11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金融方案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一期年化实际利率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Sheet1!$M$3:$M$63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6.8571428571428089E-2</c:v>
                </c:pt>
                <c:pt idx="26">
                  <c:v>7.1005917159762788E-2</c:v>
                </c:pt>
                <c:pt idx="27">
                  <c:v>7.3619631901839927E-2</c:v>
                </c:pt>
                <c:pt idx="28">
                  <c:v>7.643312101910768E-2</c:v>
                </c:pt>
                <c:pt idx="29">
                  <c:v>7.947019867549604E-2</c:v>
                </c:pt>
                <c:pt idx="30">
                  <c:v>8.2758620689654463E-2</c:v>
                </c:pt>
                <c:pt idx="31">
                  <c:v>8.6330935251797802E-2</c:v>
                </c:pt>
                <c:pt idx="32">
                  <c:v>9.0225563909773598E-2</c:v>
                </c:pt>
                <c:pt idx="33">
                  <c:v>9.4488188976377036E-2</c:v>
                </c:pt>
                <c:pt idx="34">
                  <c:v>9.917355371900724E-2</c:v>
                </c:pt>
                <c:pt idx="35">
                  <c:v>0.10434782608695539</c:v>
                </c:pt>
                <c:pt idx="36">
                  <c:v>0.11009174311926481</c:v>
                </c:pt>
                <c:pt idx="37">
                  <c:v>0.11650485436893063</c:v>
                </c:pt>
                <c:pt idx="38">
                  <c:v>0.123711340206184</c:v>
                </c:pt>
                <c:pt idx="39">
                  <c:v>0.1318681318681301</c:v>
                </c:pt>
                <c:pt idx="40">
                  <c:v>0.14117647058823324</c:v>
                </c:pt>
                <c:pt idx="41">
                  <c:v>0.15189873417721281</c:v>
                </c:pt>
                <c:pt idx="42">
                  <c:v>0.16438356164383283</c:v>
                </c:pt>
                <c:pt idx="43">
                  <c:v>0.17910447761193701</c:v>
                </c:pt>
                <c:pt idx="44">
                  <c:v>0.19672131147540584</c:v>
                </c:pt>
                <c:pt idx="45">
                  <c:v>0.21818181818181331</c:v>
                </c:pt>
                <c:pt idx="46">
                  <c:v>0.2448979591836673</c:v>
                </c:pt>
                <c:pt idx="47">
                  <c:v>0.27906976744185241</c:v>
                </c:pt>
                <c:pt idx="48">
                  <c:v>0.32432432432431346</c:v>
                </c:pt>
                <c:pt idx="49">
                  <c:v>0.38709677419353294</c:v>
                </c:pt>
                <c:pt idx="50">
                  <c:v>0.47999999999997622</c:v>
                </c:pt>
                <c:pt idx="51">
                  <c:v>0.63157894736837994</c:v>
                </c:pt>
                <c:pt idx="52">
                  <c:v>0.92307692307683498</c:v>
                </c:pt>
                <c:pt idx="53">
                  <c:v>1.7142857142854111</c:v>
                </c:pt>
                <c:pt idx="54">
                  <c:v>11.999999999985144</c:v>
                </c:pt>
                <c:pt idx="55">
                  <c:v>8000000000000.001</c:v>
                </c:pt>
                <c:pt idx="56">
                  <c:v>8000000000000.001</c:v>
                </c:pt>
                <c:pt idx="57">
                  <c:v>8000000000000.001</c:v>
                </c:pt>
                <c:pt idx="58">
                  <c:v>8000000000000.001</c:v>
                </c:pt>
                <c:pt idx="59">
                  <c:v>8000000000000.001</c:v>
                </c:pt>
                <c:pt idx="60">
                  <c:v>8000000000000.001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3-4BBE-B61A-BFECBCCC3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541616"/>
        <c:axId val="616543416"/>
      </c:lineChart>
      <c:catAx>
        <c:axId val="61654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543416"/>
        <c:crosses val="autoZero"/>
        <c:auto val="1"/>
        <c:lblAlgn val="ctr"/>
        <c:lblOffset val="100"/>
        <c:noMultiLvlLbl val="0"/>
      </c:catAx>
      <c:valAx>
        <c:axId val="61654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5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金融方案一 实际购车费用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Sheet1!$F$3:$F$63</c:f>
              <c:numCache>
                <c:formatCode>General</c:formatCode>
                <c:ptCount val="61"/>
                <c:pt idx="0">
                  <c:v>198633.33333333334</c:v>
                </c:pt>
                <c:pt idx="1">
                  <c:v>197296.94444444444</c:v>
                </c:pt>
                <c:pt idx="2">
                  <c:v>195990.83333333334</c:v>
                </c:pt>
                <c:pt idx="3">
                  <c:v>194715</c:v>
                </c:pt>
                <c:pt idx="4">
                  <c:v>193469.44444444444</c:v>
                </c:pt>
                <c:pt idx="5">
                  <c:v>192254.16666666666</c:v>
                </c:pt>
                <c:pt idx="6">
                  <c:v>191069.16666666666</c:v>
                </c:pt>
                <c:pt idx="7">
                  <c:v>189914.44444444444</c:v>
                </c:pt>
                <c:pt idx="8">
                  <c:v>188790</c:v>
                </c:pt>
                <c:pt idx="9">
                  <c:v>187695.83333333334</c:v>
                </c:pt>
                <c:pt idx="10">
                  <c:v>186631.94444444444</c:v>
                </c:pt>
                <c:pt idx="11">
                  <c:v>185598.33333333334</c:v>
                </c:pt>
                <c:pt idx="12">
                  <c:v>184595</c:v>
                </c:pt>
                <c:pt idx="13">
                  <c:v>183621.94444444444</c:v>
                </c:pt>
                <c:pt idx="14">
                  <c:v>182679.16666666669</c:v>
                </c:pt>
                <c:pt idx="15">
                  <c:v>181766.66666666669</c:v>
                </c:pt>
                <c:pt idx="16">
                  <c:v>180884.44444444444</c:v>
                </c:pt>
                <c:pt idx="17">
                  <c:v>180032.5</c:v>
                </c:pt>
                <c:pt idx="18">
                  <c:v>179210.83333333334</c:v>
                </c:pt>
                <c:pt idx="19">
                  <c:v>178419.44444444447</c:v>
                </c:pt>
                <c:pt idx="20">
                  <c:v>177658.33333333334</c:v>
                </c:pt>
                <c:pt idx="21">
                  <c:v>176927.50000000003</c:v>
                </c:pt>
                <c:pt idx="22">
                  <c:v>176226.94444444447</c:v>
                </c:pt>
                <c:pt idx="23">
                  <c:v>175556.66666666669</c:v>
                </c:pt>
                <c:pt idx="24">
                  <c:v>174916.66666666669</c:v>
                </c:pt>
                <c:pt idx="25">
                  <c:v>174306.94444444447</c:v>
                </c:pt>
                <c:pt idx="26">
                  <c:v>173727.50000000003</c:v>
                </c:pt>
                <c:pt idx="27">
                  <c:v>173178.33333333337</c:v>
                </c:pt>
                <c:pt idx="28">
                  <c:v>172659.44444444447</c:v>
                </c:pt>
                <c:pt idx="29">
                  <c:v>172170.83333333337</c:v>
                </c:pt>
                <c:pt idx="30">
                  <c:v>171712.50000000003</c:v>
                </c:pt>
                <c:pt idx="31">
                  <c:v>171284.44444444447</c:v>
                </c:pt>
                <c:pt idx="32">
                  <c:v>170886.66666666669</c:v>
                </c:pt>
                <c:pt idx="33">
                  <c:v>170519.16666666669</c:v>
                </c:pt>
                <c:pt idx="34">
                  <c:v>170181.94444444447</c:v>
                </c:pt>
                <c:pt idx="35">
                  <c:v>169875.00000000003</c:v>
                </c:pt>
                <c:pt idx="36">
                  <c:v>169598.33333333337</c:v>
                </c:pt>
                <c:pt idx="37">
                  <c:v>169351.94444444447</c:v>
                </c:pt>
                <c:pt idx="38">
                  <c:v>169135.83333333337</c:v>
                </c:pt>
                <c:pt idx="39">
                  <c:v>168950.00000000003</c:v>
                </c:pt>
                <c:pt idx="40">
                  <c:v>168794.44444444447</c:v>
                </c:pt>
                <c:pt idx="41">
                  <c:v>168669.16666666669</c:v>
                </c:pt>
                <c:pt idx="42">
                  <c:v>168574.16666666669</c:v>
                </c:pt>
                <c:pt idx="43">
                  <c:v>168509.4444444445</c:v>
                </c:pt>
                <c:pt idx="44">
                  <c:v>168475.00000000003</c:v>
                </c:pt>
                <c:pt idx="45">
                  <c:v>168470.83333333337</c:v>
                </c:pt>
                <c:pt idx="46">
                  <c:v>168496.9444444445</c:v>
                </c:pt>
                <c:pt idx="47">
                  <c:v>168553.33333333337</c:v>
                </c:pt>
                <c:pt idx="48">
                  <c:v>168640.00000000003</c:v>
                </c:pt>
                <c:pt idx="49">
                  <c:v>168756.9444444445</c:v>
                </c:pt>
                <c:pt idx="50">
                  <c:v>168904.16666666672</c:v>
                </c:pt>
                <c:pt idx="51">
                  <c:v>169081.66666666672</c:v>
                </c:pt>
                <c:pt idx="52">
                  <c:v>169289.4444444445</c:v>
                </c:pt>
                <c:pt idx="53">
                  <c:v>169527.50000000006</c:v>
                </c:pt>
                <c:pt idx="54">
                  <c:v>169795.83333333337</c:v>
                </c:pt>
                <c:pt idx="55">
                  <c:v>170094.4444444445</c:v>
                </c:pt>
                <c:pt idx="56">
                  <c:v>170394.4444444445</c:v>
                </c:pt>
                <c:pt idx="57">
                  <c:v>170694.4444444445</c:v>
                </c:pt>
                <c:pt idx="58">
                  <c:v>170994.4444444445</c:v>
                </c:pt>
                <c:pt idx="59">
                  <c:v>171294.4444444445</c:v>
                </c:pt>
                <c:pt idx="60">
                  <c:v>171594.4444444445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4-4CF0-AD5B-CAFABB65A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217208"/>
        <c:axId val="548218648"/>
      </c:lineChart>
      <c:catAx>
        <c:axId val="548217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218648"/>
        <c:crosses val="autoZero"/>
        <c:auto val="1"/>
        <c:lblAlgn val="ctr"/>
        <c:lblOffset val="100"/>
        <c:noMultiLvlLbl val="0"/>
      </c:catAx>
      <c:valAx>
        <c:axId val="54821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21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金融方案二 实际购车费用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7436711393283014E-2"/>
          <c:y val="1.336989361777572E-2"/>
          <c:w val="0.91076035071696138"/>
          <c:h val="0.8486820529854509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Sheet1!$L$3:$L$63</c:f>
              <c:numCache>
                <c:formatCode>General</c:formatCode>
                <c:ptCount val="61"/>
                <c:pt idx="0">
                  <c:v>198333.33333333334</c:v>
                </c:pt>
                <c:pt idx="1">
                  <c:v>196694.44444444444</c:v>
                </c:pt>
                <c:pt idx="2">
                  <c:v>195083.33333333334</c:v>
                </c:pt>
                <c:pt idx="3">
                  <c:v>193500</c:v>
                </c:pt>
                <c:pt idx="4">
                  <c:v>191944.44444444444</c:v>
                </c:pt>
                <c:pt idx="5">
                  <c:v>190416.66666666666</c:v>
                </c:pt>
                <c:pt idx="6">
                  <c:v>188916.66666666666</c:v>
                </c:pt>
                <c:pt idx="7">
                  <c:v>187444.44444444444</c:v>
                </c:pt>
                <c:pt idx="8">
                  <c:v>186000</c:v>
                </c:pt>
                <c:pt idx="9">
                  <c:v>184583.33333333334</c:v>
                </c:pt>
                <c:pt idx="10">
                  <c:v>183194.44444444444</c:v>
                </c:pt>
                <c:pt idx="11">
                  <c:v>181833.33333333334</c:v>
                </c:pt>
                <c:pt idx="12">
                  <c:v>180500</c:v>
                </c:pt>
                <c:pt idx="13">
                  <c:v>179194.44444444444</c:v>
                </c:pt>
                <c:pt idx="14">
                  <c:v>177916.66666666669</c:v>
                </c:pt>
                <c:pt idx="15">
                  <c:v>176666.66666666669</c:v>
                </c:pt>
                <c:pt idx="16">
                  <c:v>175444.44444444444</c:v>
                </c:pt>
                <c:pt idx="17">
                  <c:v>174250</c:v>
                </c:pt>
                <c:pt idx="18">
                  <c:v>173083.33333333334</c:v>
                </c:pt>
                <c:pt idx="19">
                  <c:v>171944.44444444447</c:v>
                </c:pt>
                <c:pt idx="20">
                  <c:v>170833.33333333334</c:v>
                </c:pt>
                <c:pt idx="21">
                  <c:v>169750.00000000003</c:v>
                </c:pt>
                <c:pt idx="22">
                  <c:v>168694.44444444447</c:v>
                </c:pt>
                <c:pt idx="23">
                  <c:v>167666.66666666669</c:v>
                </c:pt>
                <c:pt idx="24">
                  <c:v>166666.66666666669</c:v>
                </c:pt>
                <c:pt idx="25">
                  <c:v>166361.11111111112</c:v>
                </c:pt>
                <c:pt idx="26">
                  <c:v>166088.88888888893</c:v>
                </c:pt>
                <c:pt idx="27">
                  <c:v>165850.00000000003</c:v>
                </c:pt>
                <c:pt idx="28">
                  <c:v>165644.44444444447</c:v>
                </c:pt>
                <c:pt idx="29">
                  <c:v>165472.22222222225</c:v>
                </c:pt>
                <c:pt idx="30">
                  <c:v>165333.33333333337</c:v>
                </c:pt>
                <c:pt idx="31">
                  <c:v>165227.77777777781</c:v>
                </c:pt>
                <c:pt idx="32">
                  <c:v>165155.55555555559</c:v>
                </c:pt>
                <c:pt idx="33">
                  <c:v>165116.66666666669</c:v>
                </c:pt>
                <c:pt idx="34">
                  <c:v>165111.11111111112</c:v>
                </c:pt>
                <c:pt idx="35">
                  <c:v>165138.88888888893</c:v>
                </c:pt>
                <c:pt idx="36">
                  <c:v>165200.00000000003</c:v>
                </c:pt>
                <c:pt idx="37">
                  <c:v>165294.44444444447</c:v>
                </c:pt>
                <c:pt idx="38">
                  <c:v>165422.22222222225</c:v>
                </c:pt>
                <c:pt idx="39">
                  <c:v>165583.33333333337</c:v>
                </c:pt>
                <c:pt idx="40">
                  <c:v>165777.77777777781</c:v>
                </c:pt>
                <c:pt idx="41">
                  <c:v>166005.55555555559</c:v>
                </c:pt>
                <c:pt idx="42">
                  <c:v>166266.66666666669</c:v>
                </c:pt>
                <c:pt idx="43">
                  <c:v>166561.11111111112</c:v>
                </c:pt>
                <c:pt idx="44">
                  <c:v>166888.88888888893</c:v>
                </c:pt>
                <c:pt idx="45">
                  <c:v>167250.00000000003</c:v>
                </c:pt>
                <c:pt idx="46">
                  <c:v>167644.44444444447</c:v>
                </c:pt>
                <c:pt idx="47">
                  <c:v>168072.22222222228</c:v>
                </c:pt>
                <c:pt idx="48">
                  <c:v>168533.33333333337</c:v>
                </c:pt>
                <c:pt idx="49">
                  <c:v>169027.77777777781</c:v>
                </c:pt>
                <c:pt idx="50">
                  <c:v>169555.55555555562</c:v>
                </c:pt>
                <c:pt idx="51">
                  <c:v>170116.66666666672</c:v>
                </c:pt>
                <c:pt idx="52">
                  <c:v>170711.11111111115</c:v>
                </c:pt>
                <c:pt idx="53">
                  <c:v>171338.88888888893</c:v>
                </c:pt>
                <c:pt idx="54">
                  <c:v>172000.00000000006</c:v>
                </c:pt>
                <c:pt idx="55">
                  <c:v>172666.66666666669</c:v>
                </c:pt>
                <c:pt idx="56">
                  <c:v>173333.33333333337</c:v>
                </c:pt>
                <c:pt idx="57">
                  <c:v>174000.00000000006</c:v>
                </c:pt>
                <c:pt idx="58">
                  <c:v>174666.66666666669</c:v>
                </c:pt>
                <c:pt idx="59">
                  <c:v>175333.33333333337</c:v>
                </c:pt>
                <c:pt idx="60">
                  <c:v>176000.00000000006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4-4699-B895-6D9D3C15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780160"/>
        <c:axId val="600781240"/>
      </c:lineChart>
      <c:catAx>
        <c:axId val="600780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781240"/>
        <c:crosses val="autoZero"/>
        <c:auto val="1"/>
        <c:lblAlgn val="ctr"/>
        <c:lblOffset val="100"/>
        <c:noMultiLvlLbl val="0"/>
      </c:catAx>
      <c:valAx>
        <c:axId val="60078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7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528202</xdr:colOff>
      <xdr:row>1</xdr:row>
      <xdr:rowOff>152399</xdr:rowOff>
    </xdr:from>
    <xdr:to>
      <xdr:col>27</xdr:col>
      <xdr:colOff>329045</xdr:colOff>
      <xdr:row>30</xdr:row>
      <xdr:rowOff>69272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1F24D9-3096-50D7-D496-CE24DFB78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562838</xdr:colOff>
      <xdr:row>34</xdr:row>
      <xdr:rowOff>48490</xdr:rowOff>
    </xdr:from>
    <xdr:to>
      <xdr:col>28</xdr:col>
      <xdr:colOff>0</xdr:colOff>
      <xdr:row>59</xdr:row>
      <xdr:rowOff>51955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C63FD28-58BD-D647-D4BC-2936AF31F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500062</xdr:colOff>
      <xdr:row>2</xdr:row>
      <xdr:rowOff>116679</xdr:rowOff>
    </xdr:from>
    <xdr:to>
      <xdr:col>38</xdr:col>
      <xdr:colOff>642936</xdr:colOff>
      <xdr:row>26</xdr:row>
      <xdr:rowOff>166686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C926704-9618-5F15-44B0-2B823B284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166688</xdr:colOff>
      <xdr:row>37</xdr:row>
      <xdr:rowOff>92867</xdr:rowOff>
    </xdr:from>
    <xdr:to>
      <xdr:col>40</xdr:col>
      <xdr:colOff>142874</xdr:colOff>
      <xdr:row>64</xdr:row>
      <xdr:rowOff>166686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756E5A5-A5C5-128A-79D0-32FACCC2E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A16" zoomScale="70" zoomScaleNormal="70" workbookViewId="0">
      <selection activeCell="L65" sqref="L65"/>
    </sheetView>
  </sheetViews>
  <sheetFormatPr defaultRowHeight="14.25" x14ac:dyDescent="0.2"/>
  <cols>
    <col min="1" max="1" width="30.5" customWidth="1"/>
    <col min="2" max="2" width="9" style="3"/>
    <col min="3" max="3" width="19.875" style="3" customWidth="1"/>
    <col min="4" max="4" width="23" style="3" customWidth="1"/>
    <col min="5" max="5" width="17.25" style="3" customWidth="1"/>
    <col min="6" max="6" width="32" style="3" customWidth="1"/>
    <col min="7" max="7" width="25.5" style="3" customWidth="1"/>
    <col min="8" max="8" width="9" style="10"/>
    <col min="9" max="9" width="19.875" style="10" customWidth="1"/>
    <col min="10" max="10" width="23" style="10" customWidth="1"/>
    <col min="11" max="11" width="17.25" style="10" customWidth="1"/>
    <col min="12" max="12" width="37" style="8" customWidth="1"/>
    <col min="13" max="13" width="28.125" style="10" customWidth="1"/>
  </cols>
  <sheetData>
    <row r="1" spans="1:13" x14ac:dyDescent="0.2">
      <c r="A1" s="4" t="s">
        <v>0</v>
      </c>
      <c r="B1" s="13" t="s">
        <v>8</v>
      </c>
      <c r="C1" s="14"/>
      <c r="D1" s="14"/>
      <c r="E1" s="14"/>
      <c r="F1" s="14"/>
      <c r="G1" s="15"/>
      <c r="H1" s="16" t="s">
        <v>11</v>
      </c>
      <c r="I1" s="16"/>
      <c r="J1" s="16"/>
      <c r="K1" s="16"/>
      <c r="L1" s="16"/>
      <c r="M1" s="16"/>
    </row>
    <row r="2" spans="1:13" x14ac:dyDescent="0.2">
      <c r="A2" s="5">
        <v>0.1</v>
      </c>
      <c r="B2" s="1" t="s">
        <v>1</v>
      </c>
      <c r="C2" s="1" t="s">
        <v>4</v>
      </c>
      <c r="D2" s="1" t="s">
        <v>5</v>
      </c>
      <c r="E2" s="1" t="s">
        <v>9</v>
      </c>
      <c r="F2" s="1" t="s">
        <v>10</v>
      </c>
      <c r="G2" s="1" t="s">
        <v>12</v>
      </c>
      <c r="H2" s="8" t="s">
        <v>1</v>
      </c>
      <c r="I2" s="8" t="s">
        <v>4</v>
      </c>
      <c r="J2" s="8" t="s">
        <v>5</v>
      </c>
      <c r="K2" s="8" t="s">
        <v>9</v>
      </c>
      <c r="L2" s="8" t="s">
        <v>10</v>
      </c>
      <c r="M2" s="8" t="s">
        <v>12</v>
      </c>
    </row>
    <row r="3" spans="1:13" x14ac:dyDescent="0.2">
      <c r="A3" s="4" t="s">
        <v>2</v>
      </c>
      <c r="B3" s="2">
        <v>0</v>
      </c>
      <c r="C3" s="2">
        <f>$A$4</f>
        <v>200000</v>
      </c>
      <c r="D3" s="2">
        <f>$A$4</f>
        <v>200000</v>
      </c>
      <c r="E3" s="3">
        <f>D3*($A$2/12)</f>
        <v>1666.6666666666667</v>
      </c>
      <c r="F3" s="3">
        <f>$A$4+(B3+1)*$A$10-SUM($E$3:E3)</f>
        <v>198633.33333333334</v>
      </c>
      <c r="G3" s="3">
        <f>($A$10/D3)*12</f>
        <v>1.7999999999999999E-2</v>
      </c>
      <c r="H3" s="9">
        <v>0</v>
      </c>
      <c r="I3" s="9">
        <f>$A$4</f>
        <v>200000</v>
      </c>
      <c r="J3" s="9">
        <f>$A$4</f>
        <v>200000</v>
      </c>
      <c r="K3" s="10">
        <f>J3*($A$2/12)</f>
        <v>1666.6666666666667</v>
      </c>
      <c r="L3" s="8">
        <f>$A$4-SUM($K$3:K3)</f>
        <v>198333.33333333334</v>
      </c>
      <c r="M3" s="10">
        <v>0</v>
      </c>
    </row>
    <row r="4" spans="1:13" x14ac:dyDescent="0.2">
      <c r="A4" s="5">
        <v>200000</v>
      </c>
      <c r="B4" s="3">
        <v>1</v>
      </c>
      <c r="C4" s="3">
        <f>A4-A8</f>
        <v>196666.66666666666</v>
      </c>
      <c r="D4" s="3">
        <f>MAX(D3-$A$8-$A$10,0)</f>
        <v>196366.66666666666</v>
      </c>
      <c r="E4" s="3">
        <f>D4*($A$2/12)</f>
        <v>1636.3888888888887</v>
      </c>
      <c r="F4" s="3">
        <f>$A$4+(B4+1)*$A$10-SUM($E$3:E4)</f>
        <v>197296.94444444444</v>
      </c>
      <c r="G4" s="3">
        <f>($A$10/(D4+0.0000001))*12</f>
        <v>1.8333050415879307E-2</v>
      </c>
      <c r="H4" s="10">
        <v>1</v>
      </c>
      <c r="I4" s="10">
        <f>I3-A14</f>
        <v>196666.66666666666</v>
      </c>
      <c r="J4" s="10">
        <f>MAX(J3-$A$14,0)</f>
        <v>196666.66666666666</v>
      </c>
      <c r="K4" s="10">
        <f>J4*($A$2/12)</f>
        <v>1638.8888888888887</v>
      </c>
      <c r="L4" s="8">
        <f>$A$4-SUM($K$3:K4)</f>
        <v>196694.44444444444</v>
      </c>
      <c r="M4" s="10">
        <v>0</v>
      </c>
    </row>
    <row r="5" spans="1:13" x14ac:dyDescent="0.2">
      <c r="A5" s="6" t="s">
        <v>3</v>
      </c>
      <c r="B5" s="3">
        <v>2</v>
      </c>
      <c r="C5" s="3">
        <f t="shared" ref="C5:C36" si="0">C4-$A$8</f>
        <v>193333.33333333331</v>
      </c>
      <c r="D5" s="3">
        <f>MAX(D4-$A$8-$A$10,0)</f>
        <v>192733.33333333331</v>
      </c>
      <c r="E5" s="3">
        <f>D5*($A$2/12)</f>
        <v>1606.1111111111109</v>
      </c>
      <c r="F5" s="3">
        <f>$A$4+(B5+1)*$A$10-SUM($E$3:E5)</f>
        <v>195990.83333333334</v>
      </c>
      <c r="G5" s="3">
        <f>($A$10/(D5+0.0000001))*12</f>
        <v>1.8678657903829807E-2</v>
      </c>
      <c r="H5" s="10">
        <v>2</v>
      </c>
      <c r="I5" s="10">
        <f t="shared" ref="I5:I36" si="1">I4-$A$8</f>
        <v>193333.33333333331</v>
      </c>
      <c r="J5" s="10">
        <f t="shared" ref="J5:J27" si="2">MAX(J4-$A$14,0)</f>
        <v>193333.33333333331</v>
      </c>
      <c r="K5" s="10">
        <f>J5*($A$2/12)</f>
        <v>1611.1111111111109</v>
      </c>
      <c r="L5" s="8">
        <f>$A$4-SUM($K$3:K5)</f>
        <v>195083.33333333334</v>
      </c>
      <c r="M5" s="10">
        <v>0</v>
      </c>
    </row>
    <row r="6" spans="1:13" x14ac:dyDescent="0.2">
      <c r="A6" s="7">
        <v>1.7999999999999999E-2</v>
      </c>
      <c r="B6" s="3">
        <v>3</v>
      </c>
      <c r="C6" s="3">
        <f t="shared" si="0"/>
        <v>189999.99999999997</v>
      </c>
      <c r="D6" s="3">
        <f t="shared" ref="D6:D58" si="3">MAX(D5-$A$8-$A$10,0)</f>
        <v>189099.99999999997</v>
      </c>
      <c r="E6" s="3">
        <f>D6*($A$2/12)</f>
        <v>1575.833333333333</v>
      </c>
      <c r="F6" s="3">
        <f>$A$4+(B6+1)*$A$10-SUM($E$3:E6)</f>
        <v>194715</v>
      </c>
      <c r="G6" s="3">
        <f t="shared" ref="G6:G58" si="4">($A$10/(D6+0.0000001))*12</f>
        <v>1.9037546271803787E-2</v>
      </c>
      <c r="H6" s="10">
        <v>3</v>
      </c>
      <c r="I6" s="10">
        <f t="shared" si="1"/>
        <v>189999.99999999997</v>
      </c>
      <c r="J6" s="10">
        <f t="shared" si="2"/>
        <v>189999.99999999997</v>
      </c>
      <c r="K6" s="10">
        <f>J6*($A$2/12)</f>
        <v>1583.333333333333</v>
      </c>
      <c r="L6" s="8">
        <f>$A$4-SUM($K$3:K6)</f>
        <v>193500</v>
      </c>
      <c r="M6" s="10">
        <v>0</v>
      </c>
    </row>
    <row r="7" spans="1:13" x14ac:dyDescent="0.2">
      <c r="A7" s="6" t="s">
        <v>6</v>
      </c>
      <c r="B7" s="3">
        <v>4</v>
      </c>
      <c r="C7" s="3">
        <f t="shared" si="0"/>
        <v>186666.66666666663</v>
      </c>
      <c r="D7" s="3">
        <f t="shared" si="3"/>
        <v>185466.66666666663</v>
      </c>
      <c r="E7" s="3">
        <f>D7*($A$2/12)</f>
        <v>1545.5555555555552</v>
      </c>
      <c r="F7" s="3">
        <f>$A$4+(B7+1)*$A$10-SUM($E$3:E7)</f>
        <v>193469.44444444444</v>
      </c>
      <c r="G7" s="3">
        <f t="shared" si="4"/>
        <v>1.9410496045999599E-2</v>
      </c>
      <c r="H7" s="10">
        <v>4</v>
      </c>
      <c r="I7" s="10">
        <f t="shared" si="1"/>
        <v>186666.66666666663</v>
      </c>
      <c r="J7" s="10">
        <f t="shared" si="2"/>
        <v>186666.66666666663</v>
      </c>
      <c r="K7" s="10">
        <f t="shared" ref="K7:K63" si="5">J7*($A$2/12)</f>
        <v>1555.5555555555552</v>
      </c>
      <c r="L7" s="8">
        <f>$A$4-SUM($K$3:K7)</f>
        <v>191944.44444444444</v>
      </c>
      <c r="M7" s="10">
        <v>0</v>
      </c>
    </row>
    <row r="8" spans="1:13" x14ac:dyDescent="0.2">
      <c r="A8" s="7">
        <f>A4/60</f>
        <v>3333.3333333333335</v>
      </c>
      <c r="B8" s="3">
        <v>5</v>
      </c>
      <c r="C8" s="3">
        <f t="shared" si="0"/>
        <v>183333.33333333328</v>
      </c>
      <c r="D8" s="3">
        <f t="shared" si="3"/>
        <v>181833.33333333328</v>
      </c>
      <c r="E8" s="3">
        <f t="shared" ref="E8:E63" si="6">D8*($A$2/12)</f>
        <v>1515.2777777777774</v>
      </c>
      <c r="F8" s="3">
        <f>$A$4+(B8+1)*$A$10-SUM($E$3:E8)</f>
        <v>192254.16666666666</v>
      </c>
      <c r="G8" s="3">
        <f t="shared" si="4"/>
        <v>1.9798350137477657E-2</v>
      </c>
      <c r="H8" s="10">
        <v>5</v>
      </c>
      <c r="I8" s="10">
        <f t="shared" si="1"/>
        <v>183333.33333333328</v>
      </c>
      <c r="J8" s="10">
        <f t="shared" si="2"/>
        <v>183333.33333333328</v>
      </c>
      <c r="K8" s="10">
        <f t="shared" si="5"/>
        <v>1527.7777777777774</v>
      </c>
      <c r="L8" s="8">
        <f>$A$4-SUM($K$3:K8)</f>
        <v>190416.66666666666</v>
      </c>
      <c r="M8" s="10">
        <v>0</v>
      </c>
    </row>
    <row r="9" spans="1:13" x14ac:dyDescent="0.2">
      <c r="A9" s="6" t="s">
        <v>7</v>
      </c>
      <c r="B9" s="3">
        <v>6</v>
      </c>
      <c r="C9" s="3">
        <f t="shared" si="0"/>
        <v>179999.99999999994</v>
      </c>
      <c r="D9" s="3">
        <f t="shared" si="3"/>
        <v>178199.99999999994</v>
      </c>
      <c r="E9" s="3">
        <f t="shared" si="6"/>
        <v>1484.9999999999995</v>
      </c>
      <c r="F9" s="3">
        <f>$A$4+(B9+1)*$A$10-SUM($E$3:E9)</f>
        <v>191069.16666666666</v>
      </c>
      <c r="G9" s="3">
        <f t="shared" si="4"/>
        <v>2.0202020202008869E-2</v>
      </c>
      <c r="H9" s="10">
        <v>6</v>
      </c>
      <c r="I9" s="10">
        <f t="shared" si="1"/>
        <v>179999.99999999994</v>
      </c>
      <c r="J9" s="10">
        <f t="shared" si="2"/>
        <v>179999.99999999994</v>
      </c>
      <c r="K9" s="10">
        <f t="shared" si="5"/>
        <v>1499.9999999999995</v>
      </c>
      <c r="L9" s="8">
        <f>$A$4-SUM($K$3:K9)</f>
        <v>188916.66666666666</v>
      </c>
      <c r="M9" s="10">
        <v>0</v>
      </c>
    </row>
    <row r="10" spans="1:13" x14ac:dyDescent="0.2">
      <c r="A10" s="7">
        <f>(A6/12)*A4</f>
        <v>299.99999999999994</v>
      </c>
      <c r="B10" s="3">
        <v>7</v>
      </c>
      <c r="C10" s="3">
        <f t="shared" si="0"/>
        <v>176666.6666666666</v>
      </c>
      <c r="D10" s="3">
        <f t="shared" si="3"/>
        <v>174566.6666666666</v>
      </c>
      <c r="E10" s="3">
        <f t="shared" si="6"/>
        <v>1454.7222222222217</v>
      </c>
      <c r="F10" s="3">
        <f>$A$4+(B10+1)*$A$10-SUM($E$3:E10)</f>
        <v>189914.44444444444</v>
      </c>
      <c r="G10" s="3">
        <f t="shared" si="4"/>
        <v>2.0622493794145151E-2</v>
      </c>
      <c r="H10" s="10">
        <v>7</v>
      </c>
      <c r="I10" s="10">
        <f t="shared" si="1"/>
        <v>176666.6666666666</v>
      </c>
      <c r="J10" s="10">
        <f t="shared" si="2"/>
        <v>176666.6666666666</v>
      </c>
      <c r="K10" s="10">
        <f t="shared" si="5"/>
        <v>1472.2222222222217</v>
      </c>
      <c r="L10" s="8">
        <f>$A$4-SUM($K$3:K10)</f>
        <v>187444.44444444444</v>
      </c>
      <c r="M10" s="10">
        <v>0</v>
      </c>
    </row>
    <row r="11" spans="1:13" x14ac:dyDescent="0.2">
      <c r="A11" s="11" t="s">
        <v>3</v>
      </c>
      <c r="B11" s="3">
        <v>8</v>
      </c>
      <c r="C11" s="3">
        <f t="shared" si="0"/>
        <v>173333.33333333326</v>
      </c>
      <c r="D11" s="3">
        <f t="shared" si="3"/>
        <v>170933.33333333326</v>
      </c>
      <c r="E11" s="3">
        <f t="shared" si="6"/>
        <v>1424.4444444444439</v>
      </c>
      <c r="F11" s="3">
        <f>$A$4+(B11+1)*$A$10-SUM($E$3:E11)</f>
        <v>188790</v>
      </c>
      <c r="G11" s="3">
        <f t="shared" si="4"/>
        <v>2.1060842433685032E-2</v>
      </c>
      <c r="H11" s="10">
        <v>8</v>
      </c>
      <c r="I11" s="10">
        <f t="shared" si="1"/>
        <v>173333.33333333326</v>
      </c>
      <c r="J11" s="10">
        <f t="shared" si="2"/>
        <v>173333.33333333326</v>
      </c>
      <c r="K11" s="10">
        <f t="shared" si="5"/>
        <v>1444.4444444444439</v>
      </c>
      <c r="L11" s="8">
        <f>$A$4-SUM($K$3:K11)</f>
        <v>186000</v>
      </c>
      <c r="M11" s="10">
        <v>0</v>
      </c>
    </row>
    <row r="12" spans="1:13" x14ac:dyDescent="0.2">
      <c r="A12" s="12">
        <v>0.04</v>
      </c>
      <c r="B12" s="3">
        <v>9</v>
      </c>
      <c r="C12" s="3">
        <f t="shared" si="0"/>
        <v>169999.99999999991</v>
      </c>
      <c r="D12" s="3">
        <f t="shared" si="3"/>
        <v>167299.99999999991</v>
      </c>
      <c r="E12" s="3">
        <f t="shared" si="6"/>
        <v>1394.1666666666658</v>
      </c>
      <c r="F12" s="3">
        <f>$A$4+(B12+1)*$A$10-SUM($E$3:E12)</f>
        <v>187695.83333333334</v>
      </c>
      <c r="G12" s="3">
        <f t="shared" si="4"/>
        <v>2.1518230723238788E-2</v>
      </c>
      <c r="H12" s="10">
        <v>9</v>
      </c>
      <c r="I12" s="10">
        <f t="shared" si="1"/>
        <v>169999.99999999991</v>
      </c>
      <c r="J12" s="10">
        <f t="shared" si="2"/>
        <v>169999.99999999991</v>
      </c>
      <c r="K12" s="10">
        <f t="shared" si="5"/>
        <v>1416.6666666666658</v>
      </c>
      <c r="L12" s="8">
        <f>$A$4-SUM($K$3:K12)</f>
        <v>184583.33333333334</v>
      </c>
      <c r="M12" s="10">
        <v>0</v>
      </c>
    </row>
    <row r="13" spans="1:13" x14ac:dyDescent="0.2">
      <c r="A13" s="11" t="s">
        <v>6</v>
      </c>
      <c r="B13" s="3">
        <v>10</v>
      </c>
      <c r="C13" s="3">
        <f t="shared" si="0"/>
        <v>166666.66666666657</v>
      </c>
      <c r="D13" s="3">
        <f t="shared" si="3"/>
        <v>163666.66666666657</v>
      </c>
      <c r="E13" s="3">
        <f t="shared" si="6"/>
        <v>1363.888888888888</v>
      </c>
      <c r="F13" s="3">
        <f>$A$4+(B13+1)*$A$10-SUM($E$3:E13)</f>
        <v>186631.94444444444</v>
      </c>
      <c r="G13" s="3">
        <f t="shared" si="4"/>
        <v>2.1995926680230968E-2</v>
      </c>
      <c r="H13" s="10">
        <v>10</v>
      </c>
      <c r="I13" s="10">
        <f t="shared" si="1"/>
        <v>166666.66666666657</v>
      </c>
      <c r="J13" s="10">
        <f t="shared" si="2"/>
        <v>166666.66666666657</v>
      </c>
      <c r="K13" s="10">
        <f t="shared" si="5"/>
        <v>1388.888888888888</v>
      </c>
      <c r="L13" s="8">
        <f>$A$4-SUM($K$3:K13)</f>
        <v>183194.44444444444</v>
      </c>
      <c r="M13" s="10">
        <v>0</v>
      </c>
    </row>
    <row r="14" spans="1:13" x14ac:dyDescent="0.2">
      <c r="A14" s="12">
        <f>A4/60</f>
        <v>3333.3333333333335</v>
      </c>
      <c r="B14" s="3">
        <v>11</v>
      </c>
      <c r="C14" s="3">
        <f t="shared" si="0"/>
        <v>163333.33333333323</v>
      </c>
      <c r="D14" s="3">
        <f t="shared" si="3"/>
        <v>160033.33333333323</v>
      </c>
      <c r="E14" s="3">
        <f t="shared" si="6"/>
        <v>1333.6111111111102</v>
      </c>
      <c r="F14" s="3">
        <f>$A$4+(B14+1)*$A$10-SUM($E$3:E14)</f>
        <v>185598.33333333334</v>
      </c>
      <c r="G14" s="3">
        <f t="shared" si="4"/>
        <v>2.2495313476345046E-2</v>
      </c>
      <c r="H14" s="10">
        <v>11</v>
      </c>
      <c r="I14" s="10">
        <f t="shared" si="1"/>
        <v>163333.33333333323</v>
      </c>
      <c r="J14" s="10">
        <f t="shared" si="2"/>
        <v>163333.33333333323</v>
      </c>
      <c r="K14" s="10">
        <f t="shared" si="5"/>
        <v>1361.1111111111102</v>
      </c>
      <c r="L14" s="8">
        <f>$A$4-SUM($K$3:K14)</f>
        <v>181833.33333333334</v>
      </c>
      <c r="M14" s="10">
        <v>0</v>
      </c>
    </row>
    <row r="15" spans="1:13" x14ac:dyDescent="0.2">
      <c r="A15" s="11" t="s">
        <v>7</v>
      </c>
      <c r="B15" s="3">
        <v>12</v>
      </c>
      <c r="C15" s="3">
        <f t="shared" si="0"/>
        <v>159999.99999999988</v>
      </c>
      <c r="D15" s="3">
        <f t="shared" si="3"/>
        <v>156399.99999999988</v>
      </c>
      <c r="E15" s="3">
        <f t="shared" si="6"/>
        <v>1303.3333333333323</v>
      </c>
      <c r="F15" s="3">
        <f>$A$4+(B15+1)*$A$10-SUM($E$3:E15)</f>
        <v>184595</v>
      </c>
      <c r="G15" s="3">
        <f t="shared" si="4"/>
        <v>2.301790281328453E-2</v>
      </c>
      <c r="H15" s="10">
        <v>12</v>
      </c>
      <c r="I15" s="10">
        <f t="shared" si="1"/>
        <v>159999.99999999988</v>
      </c>
      <c r="J15" s="10">
        <f t="shared" si="2"/>
        <v>159999.99999999988</v>
      </c>
      <c r="K15" s="10">
        <f t="shared" si="5"/>
        <v>1333.3333333333323</v>
      </c>
      <c r="L15" s="8">
        <f>$A$4-SUM($K$3:K15)</f>
        <v>180500</v>
      </c>
      <c r="M15" s="10">
        <v>0</v>
      </c>
    </row>
    <row r="16" spans="1:13" x14ac:dyDescent="0.2">
      <c r="A16" s="12">
        <f>(A12/12)*A4</f>
        <v>666.66666666666674</v>
      </c>
      <c r="B16" s="3">
        <v>13</v>
      </c>
      <c r="C16" s="3">
        <f t="shared" si="0"/>
        <v>156666.66666666654</v>
      </c>
      <c r="D16" s="3">
        <f t="shared" si="3"/>
        <v>152766.66666666654</v>
      </c>
      <c r="E16" s="3">
        <f t="shared" si="6"/>
        <v>1273.0555555555545</v>
      </c>
      <c r="F16" s="3">
        <f>$A$4+(B16+1)*$A$10-SUM($E$3:E16)</f>
        <v>183621.94444444444</v>
      </c>
      <c r="G16" s="3">
        <f t="shared" si="4"/>
        <v>2.3565350207272392E-2</v>
      </c>
      <c r="H16" s="10">
        <v>13</v>
      </c>
      <c r="I16" s="10">
        <f t="shared" si="1"/>
        <v>156666.66666666654</v>
      </c>
      <c r="J16" s="10">
        <f t="shared" si="2"/>
        <v>156666.66666666654</v>
      </c>
      <c r="K16" s="10">
        <f t="shared" si="5"/>
        <v>1305.5555555555545</v>
      </c>
      <c r="L16" s="8">
        <f>$A$4-SUM($K$3:K16)</f>
        <v>179194.44444444444</v>
      </c>
      <c r="M16" s="10">
        <v>0</v>
      </c>
    </row>
    <row r="17" spans="2:13" x14ac:dyDescent="0.2">
      <c r="B17" s="3">
        <v>14</v>
      </c>
      <c r="C17" s="3">
        <f t="shared" si="0"/>
        <v>153333.3333333332</v>
      </c>
      <c r="D17" s="3">
        <f t="shared" si="3"/>
        <v>149133.3333333332</v>
      </c>
      <c r="E17" s="3">
        <f t="shared" si="6"/>
        <v>1242.7777777777767</v>
      </c>
      <c r="F17" s="3">
        <f>$A$4+(B17+1)*$A$10-SUM($E$3:E17)</f>
        <v>182679.16666666669</v>
      </c>
      <c r="G17" s="3">
        <f t="shared" si="4"/>
        <v>2.4139472507806806E-2</v>
      </c>
      <c r="H17" s="10">
        <v>14</v>
      </c>
      <c r="I17" s="10">
        <f t="shared" si="1"/>
        <v>153333.3333333332</v>
      </c>
      <c r="J17" s="10">
        <f t="shared" si="2"/>
        <v>153333.3333333332</v>
      </c>
      <c r="K17" s="10">
        <f t="shared" si="5"/>
        <v>1277.7777777777767</v>
      </c>
      <c r="L17" s="8">
        <f>$A$4-SUM($K$3:K17)</f>
        <v>177916.66666666669</v>
      </c>
      <c r="M17" s="10">
        <v>0</v>
      </c>
    </row>
    <row r="18" spans="2:13" x14ac:dyDescent="0.2">
      <c r="B18" s="3">
        <v>15</v>
      </c>
      <c r="C18" s="3">
        <f t="shared" si="0"/>
        <v>149999.99999999985</v>
      </c>
      <c r="D18" s="3">
        <f t="shared" si="3"/>
        <v>145499.99999999985</v>
      </c>
      <c r="E18" s="3">
        <f t="shared" si="6"/>
        <v>1212.4999999999989</v>
      </c>
      <c r="F18" s="3">
        <f>$A$4+(B18+1)*$A$10-SUM($E$3:E18)</f>
        <v>181766.66666666669</v>
      </c>
      <c r="G18" s="3">
        <f t="shared" si="4"/>
        <v>2.4742268041220129E-2</v>
      </c>
      <c r="H18" s="10">
        <v>15</v>
      </c>
      <c r="I18" s="10">
        <f t="shared" si="1"/>
        <v>149999.99999999985</v>
      </c>
      <c r="J18" s="10">
        <f t="shared" si="2"/>
        <v>149999.99999999985</v>
      </c>
      <c r="K18" s="10">
        <f t="shared" si="5"/>
        <v>1249.9999999999989</v>
      </c>
      <c r="L18" s="8">
        <f>$A$4-SUM($K$3:K18)</f>
        <v>176666.66666666669</v>
      </c>
      <c r="M18" s="10">
        <v>0</v>
      </c>
    </row>
    <row r="19" spans="2:13" x14ac:dyDescent="0.2">
      <c r="B19" s="3">
        <v>16</v>
      </c>
      <c r="C19" s="3">
        <f t="shared" si="0"/>
        <v>146666.66666666651</v>
      </c>
      <c r="D19" s="3">
        <f t="shared" si="3"/>
        <v>141866.66666666651</v>
      </c>
      <c r="E19" s="3">
        <f t="shared" si="6"/>
        <v>1182.2222222222208</v>
      </c>
      <c r="F19" s="3">
        <f>$A$4+(B19+1)*$A$10-SUM($E$3:E19)</f>
        <v>180884.44444444444</v>
      </c>
      <c r="G19" s="3">
        <f t="shared" si="4"/>
        <v>2.5375939849606198E-2</v>
      </c>
      <c r="H19" s="10">
        <v>16</v>
      </c>
      <c r="I19" s="10">
        <f t="shared" si="1"/>
        <v>146666.66666666651</v>
      </c>
      <c r="J19" s="10">
        <f t="shared" si="2"/>
        <v>146666.66666666651</v>
      </c>
      <c r="K19" s="10">
        <f t="shared" si="5"/>
        <v>1222.2222222222208</v>
      </c>
      <c r="L19" s="8">
        <f>$A$4-SUM($K$3:K19)</f>
        <v>175444.44444444444</v>
      </c>
      <c r="M19" s="10">
        <v>0</v>
      </c>
    </row>
    <row r="20" spans="2:13" x14ac:dyDescent="0.2">
      <c r="B20" s="3">
        <v>17</v>
      </c>
      <c r="C20" s="3">
        <f t="shared" si="0"/>
        <v>143333.33333333317</v>
      </c>
      <c r="D20" s="3">
        <f t="shared" si="3"/>
        <v>138233.33333333317</v>
      </c>
      <c r="E20" s="3">
        <f t="shared" si="6"/>
        <v>1151.944444444443</v>
      </c>
      <c r="F20" s="3">
        <f>$A$4+(B20+1)*$A$10-SUM($E$3:E20)</f>
        <v>180032.5</v>
      </c>
      <c r="G20" s="3">
        <f t="shared" si="4"/>
        <v>2.6042922594627919E-2</v>
      </c>
      <c r="H20" s="10">
        <v>17</v>
      </c>
      <c r="I20" s="10">
        <f t="shared" si="1"/>
        <v>143333.33333333317</v>
      </c>
      <c r="J20" s="10">
        <f t="shared" si="2"/>
        <v>143333.33333333317</v>
      </c>
      <c r="K20" s="10">
        <f t="shared" si="5"/>
        <v>1194.444444444443</v>
      </c>
      <c r="L20" s="8">
        <f>$A$4-SUM($K$3:K20)</f>
        <v>174250</v>
      </c>
      <c r="M20" s="10">
        <v>0</v>
      </c>
    </row>
    <row r="21" spans="2:13" x14ac:dyDescent="0.2">
      <c r="B21" s="3">
        <v>18</v>
      </c>
      <c r="C21" s="3">
        <f t="shared" si="0"/>
        <v>139999.99999999983</v>
      </c>
      <c r="D21" s="3">
        <f t="shared" si="3"/>
        <v>134599.99999999983</v>
      </c>
      <c r="E21" s="3">
        <f t="shared" si="6"/>
        <v>1121.6666666666652</v>
      </c>
      <c r="F21" s="3">
        <f>$A$4+(B21+1)*$A$10-SUM($E$3:E21)</f>
        <v>179210.83333333334</v>
      </c>
      <c r="G21" s="3">
        <f t="shared" si="4"/>
        <v>2.67459138187023E-2</v>
      </c>
      <c r="H21" s="10">
        <v>18</v>
      </c>
      <c r="I21" s="10">
        <f t="shared" si="1"/>
        <v>139999.99999999983</v>
      </c>
      <c r="J21" s="10">
        <f t="shared" si="2"/>
        <v>139999.99999999983</v>
      </c>
      <c r="K21" s="10">
        <f t="shared" si="5"/>
        <v>1166.6666666666652</v>
      </c>
      <c r="L21" s="8">
        <f>$A$4-SUM($K$3:K21)</f>
        <v>173083.33333333334</v>
      </c>
      <c r="M21" s="10">
        <v>0</v>
      </c>
    </row>
    <row r="22" spans="2:13" x14ac:dyDescent="0.2">
      <c r="B22" s="3">
        <v>19</v>
      </c>
      <c r="C22" s="3">
        <f t="shared" si="0"/>
        <v>136666.66666666648</v>
      </c>
      <c r="D22" s="3">
        <f t="shared" si="3"/>
        <v>130966.66666666648</v>
      </c>
      <c r="E22" s="3">
        <f t="shared" si="6"/>
        <v>1091.3888888888873</v>
      </c>
      <c r="F22" s="3">
        <f>$A$4+(B22+1)*$A$10-SUM($E$3:E22)</f>
        <v>178419.44444444447</v>
      </c>
      <c r="G22" s="3">
        <f t="shared" si="4"/>
        <v>2.7487910409752521E-2</v>
      </c>
      <c r="H22" s="10">
        <v>19</v>
      </c>
      <c r="I22" s="10">
        <f t="shared" si="1"/>
        <v>136666.66666666648</v>
      </c>
      <c r="J22" s="10">
        <f t="shared" si="2"/>
        <v>136666.66666666648</v>
      </c>
      <c r="K22" s="10">
        <f t="shared" si="5"/>
        <v>1138.8888888888873</v>
      </c>
      <c r="L22" s="8">
        <f>$A$4-SUM($K$3:K22)</f>
        <v>171944.44444444447</v>
      </c>
      <c r="M22" s="10">
        <v>0</v>
      </c>
    </row>
    <row r="23" spans="2:13" x14ac:dyDescent="0.2">
      <c r="B23" s="3">
        <v>20</v>
      </c>
      <c r="C23" s="3">
        <f t="shared" si="0"/>
        <v>133333.33333333314</v>
      </c>
      <c r="D23" s="3">
        <f t="shared" si="3"/>
        <v>127333.33333333315</v>
      </c>
      <c r="E23" s="3">
        <f t="shared" si="6"/>
        <v>1061.1111111111095</v>
      </c>
      <c r="F23" s="3">
        <f>$A$4+(B23+1)*$A$10-SUM($E$3:E23)</f>
        <v>177658.33333333334</v>
      </c>
      <c r="G23" s="3">
        <f t="shared" si="4"/>
        <v>2.8272251308878352E-2</v>
      </c>
      <c r="H23" s="10">
        <v>20</v>
      </c>
      <c r="I23" s="10">
        <f t="shared" si="1"/>
        <v>133333.33333333314</v>
      </c>
      <c r="J23" s="10">
        <f t="shared" si="2"/>
        <v>133333.33333333314</v>
      </c>
      <c r="K23" s="10">
        <f t="shared" si="5"/>
        <v>1111.1111111111095</v>
      </c>
      <c r="L23" s="8">
        <f>$A$4-SUM($K$3:K23)</f>
        <v>170833.33333333334</v>
      </c>
      <c r="M23" s="10">
        <v>0</v>
      </c>
    </row>
    <row r="24" spans="2:13" x14ac:dyDescent="0.2">
      <c r="B24" s="3">
        <v>21</v>
      </c>
      <c r="C24" s="3">
        <f t="shared" si="0"/>
        <v>129999.99999999981</v>
      </c>
      <c r="D24" s="3">
        <f t="shared" si="3"/>
        <v>123699.99999999983</v>
      </c>
      <c r="E24" s="3">
        <f t="shared" si="6"/>
        <v>1030.8333333333319</v>
      </c>
      <c r="F24" s="3">
        <f>$A$4+(B24+1)*$A$10-SUM($E$3:E24)</f>
        <v>176927.50000000003</v>
      </c>
      <c r="G24" s="3">
        <f t="shared" si="4"/>
        <v>2.9102667744519761E-2</v>
      </c>
      <c r="H24" s="10">
        <v>21</v>
      </c>
      <c r="I24" s="10">
        <f t="shared" si="1"/>
        <v>129999.99999999981</v>
      </c>
      <c r="J24" s="10">
        <f t="shared" si="2"/>
        <v>129999.99999999981</v>
      </c>
      <c r="K24" s="10">
        <f t="shared" si="5"/>
        <v>1083.3333333333317</v>
      </c>
      <c r="L24" s="8">
        <f>$A$4-SUM($K$3:K24)</f>
        <v>169750.00000000003</v>
      </c>
      <c r="M24" s="10">
        <v>0</v>
      </c>
    </row>
    <row r="25" spans="2:13" x14ac:dyDescent="0.2">
      <c r="B25" s="3">
        <v>22</v>
      </c>
      <c r="C25" s="3">
        <f t="shared" si="0"/>
        <v>126666.66666666648</v>
      </c>
      <c r="D25" s="3">
        <f t="shared" si="3"/>
        <v>120066.6666666665</v>
      </c>
      <c r="E25" s="3">
        <f t="shared" si="6"/>
        <v>1000.5555555555542</v>
      </c>
      <c r="F25" s="3">
        <f>$A$4+(B25+1)*$A$10-SUM($E$3:E25)</f>
        <v>176226.94444444447</v>
      </c>
      <c r="G25" s="3">
        <f t="shared" si="4"/>
        <v>2.9983342587426482E-2</v>
      </c>
      <c r="H25" s="10">
        <v>22</v>
      </c>
      <c r="I25" s="10">
        <f t="shared" si="1"/>
        <v>126666.66666666648</v>
      </c>
      <c r="J25" s="10">
        <f t="shared" si="2"/>
        <v>126666.66666666648</v>
      </c>
      <c r="K25" s="10">
        <f t="shared" si="5"/>
        <v>1055.5555555555541</v>
      </c>
      <c r="L25" s="8">
        <f>$A$4-SUM($K$3:K25)</f>
        <v>168694.44444444447</v>
      </c>
      <c r="M25" s="10">
        <v>0</v>
      </c>
    </row>
    <row r="26" spans="2:13" x14ac:dyDescent="0.2">
      <c r="B26" s="3">
        <v>23</v>
      </c>
      <c r="C26" s="3">
        <f t="shared" si="0"/>
        <v>123333.33333333315</v>
      </c>
      <c r="D26" s="3">
        <f t="shared" si="3"/>
        <v>116433.33333333317</v>
      </c>
      <c r="E26" s="3">
        <f t="shared" si="6"/>
        <v>970.27777777777635</v>
      </c>
      <c r="F26" s="3">
        <f>$A$4+(B26+1)*$A$10-SUM($E$3:E26)</f>
        <v>175556.66666666669</v>
      </c>
      <c r="G26" s="3">
        <f t="shared" si="4"/>
        <v>3.09189808187539E-2</v>
      </c>
      <c r="H26" s="10">
        <v>23</v>
      </c>
      <c r="I26" s="10">
        <f t="shared" si="1"/>
        <v>123333.33333333315</v>
      </c>
      <c r="J26" s="10">
        <f t="shared" si="2"/>
        <v>123333.33333333315</v>
      </c>
      <c r="K26" s="10">
        <f t="shared" si="5"/>
        <v>1027.7777777777762</v>
      </c>
      <c r="L26" s="8">
        <f>$A$4-SUM($K$3:K26)</f>
        <v>167666.66666666669</v>
      </c>
      <c r="M26" s="10">
        <v>0</v>
      </c>
    </row>
    <row r="27" spans="2:13" x14ac:dyDescent="0.2">
      <c r="B27" s="2">
        <v>24</v>
      </c>
      <c r="C27" s="2">
        <f t="shared" si="0"/>
        <v>119999.99999999983</v>
      </c>
      <c r="D27" s="3">
        <f t="shared" si="3"/>
        <v>112799.99999999984</v>
      </c>
      <c r="E27" s="2">
        <f t="shared" si="6"/>
        <v>939.99999999999864</v>
      </c>
      <c r="F27" s="3">
        <f>$A$4+(B27+1)*$A$10-SUM($E$3:E27)</f>
        <v>174916.66666666669</v>
      </c>
      <c r="G27" s="3">
        <f t="shared" si="4"/>
        <v>3.1914893616993026E-2</v>
      </c>
      <c r="H27" s="9">
        <v>24</v>
      </c>
      <c r="I27" s="9">
        <f t="shared" si="1"/>
        <v>119999.99999999983</v>
      </c>
      <c r="J27" s="10">
        <f>MAX(J26-$A$14,0)</f>
        <v>119999.99999999983</v>
      </c>
      <c r="K27" s="9">
        <f t="shared" si="5"/>
        <v>999.99999999999852</v>
      </c>
      <c r="L27" s="8">
        <f>$A$4-SUM($K$3:K27)</f>
        <v>166666.66666666669</v>
      </c>
      <c r="M27" s="10">
        <v>0</v>
      </c>
    </row>
    <row r="28" spans="2:13" x14ac:dyDescent="0.2">
      <c r="B28" s="1">
        <v>25</v>
      </c>
      <c r="C28" s="1">
        <f t="shared" si="0"/>
        <v>116666.6666666665</v>
      </c>
      <c r="D28" s="3">
        <f t="shared" si="3"/>
        <v>109166.66666666651</v>
      </c>
      <c r="E28" s="1">
        <f t="shared" si="6"/>
        <v>909.72222222222092</v>
      </c>
      <c r="F28" s="3">
        <f>$A$4+(B28+1)*$A$10-SUM($E$3:E28)</f>
        <v>174306.94444444447</v>
      </c>
      <c r="G28" s="3">
        <f t="shared" si="4"/>
        <v>3.2977099236611053E-2</v>
      </c>
      <c r="H28" s="8">
        <v>25</v>
      </c>
      <c r="I28" s="8">
        <f t="shared" si="1"/>
        <v>116666.6666666665</v>
      </c>
      <c r="J28" s="10">
        <f>MAX(J27-$A$14,0)</f>
        <v>116666.6666666665</v>
      </c>
      <c r="K28" s="8">
        <f t="shared" si="5"/>
        <v>972.22222222222081</v>
      </c>
      <c r="L28" s="8">
        <f>$A$4+(H28-24)*$A$16-SUM($K$3:K28)</f>
        <v>166361.11111111112</v>
      </c>
      <c r="M28" s="8">
        <f>($A$16/(J28+0.000000001))*12</f>
        <v>6.8571428571428089E-2</v>
      </c>
    </row>
    <row r="29" spans="2:13" x14ac:dyDescent="0.2">
      <c r="B29" s="1">
        <v>26</v>
      </c>
      <c r="C29" s="1">
        <f t="shared" si="0"/>
        <v>113333.33333333317</v>
      </c>
      <c r="D29" s="3">
        <f t="shared" si="3"/>
        <v>105533.33333333318</v>
      </c>
      <c r="E29" s="1">
        <f t="shared" si="6"/>
        <v>879.44444444444321</v>
      </c>
      <c r="F29" s="3">
        <f>$A$4+(B29+1)*$A$10-SUM($E$3:E29)</f>
        <v>173727.50000000003</v>
      </c>
      <c r="G29" s="3">
        <f t="shared" si="4"/>
        <v>3.4112444725173025E-2</v>
      </c>
      <c r="H29" s="8">
        <v>26</v>
      </c>
      <c r="I29" s="8">
        <f t="shared" si="1"/>
        <v>113333.33333333317</v>
      </c>
      <c r="J29" s="8">
        <f>MAX(J28-$A$8-$A$16,0)</f>
        <v>112666.6666666665</v>
      </c>
      <c r="K29" s="8">
        <f t="shared" si="5"/>
        <v>938.88888888888744</v>
      </c>
      <c r="L29" s="8">
        <f>$A$4+(H29-24)*$A$16-SUM($K$3:K29)</f>
        <v>166088.88888888893</v>
      </c>
      <c r="M29" s="8">
        <f>($A$16/(J29+0.000000001))*12</f>
        <v>7.1005917159762788E-2</v>
      </c>
    </row>
    <row r="30" spans="2:13" x14ac:dyDescent="0.2">
      <c r="B30" s="1">
        <v>27</v>
      </c>
      <c r="C30" s="1">
        <f t="shared" si="0"/>
        <v>109999.99999999984</v>
      </c>
      <c r="D30" s="3">
        <f t="shared" si="3"/>
        <v>101899.99999999985</v>
      </c>
      <c r="E30" s="1">
        <f t="shared" si="6"/>
        <v>849.16666666666549</v>
      </c>
      <c r="F30" s="3">
        <f>$A$4+(B30+1)*$A$10-SUM($E$3:E30)</f>
        <v>173178.33333333337</v>
      </c>
      <c r="G30" s="3">
        <f t="shared" si="4"/>
        <v>3.532875368004388E-2</v>
      </c>
      <c r="H30" s="8">
        <v>27</v>
      </c>
      <c r="I30" s="8">
        <f t="shared" si="1"/>
        <v>109999.99999999984</v>
      </c>
      <c r="J30" s="8">
        <f>MAX(J29-$A$8-$A$16,0)</f>
        <v>108666.6666666665</v>
      </c>
      <c r="K30" s="8">
        <f t="shared" si="5"/>
        <v>905.55555555555418</v>
      </c>
      <c r="L30" s="8">
        <f>$A$4+(H30-24)*$A$16-SUM($K$3:K30)</f>
        <v>165850.00000000003</v>
      </c>
      <c r="M30" s="8">
        <f>($A$16/(J30+0.000000001))*12</f>
        <v>7.3619631901839927E-2</v>
      </c>
    </row>
    <row r="31" spans="2:13" x14ac:dyDescent="0.2">
      <c r="B31" s="1">
        <v>28</v>
      </c>
      <c r="C31" s="1">
        <f t="shared" si="0"/>
        <v>106666.66666666651</v>
      </c>
      <c r="D31" s="3">
        <f t="shared" si="3"/>
        <v>98266.666666666526</v>
      </c>
      <c r="E31" s="1">
        <f t="shared" si="6"/>
        <v>818.88888888888766</v>
      </c>
      <c r="F31" s="3">
        <f>$A$4+(B31+1)*$A$10-SUM($E$3:E31)</f>
        <v>172659.44444444447</v>
      </c>
      <c r="G31" s="3">
        <f t="shared" si="4"/>
        <v>3.6635006784223281E-2</v>
      </c>
      <c r="H31" s="8">
        <v>28</v>
      </c>
      <c r="I31" s="8">
        <f t="shared" si="1"/>
        <v>106666.66666666651</v>
      </c>
      <c r="J31" s="8">
        <f>MAX(J30-$A$8-$A$16,0)</f>
        <v>104666.6666666665</v>
      </c>
      <c r="K31" s="8">
        <f t="shared" si="5"/>
        <v>872.22222222222081</v>
      </c>
      <c r="L31" s="8">
        <f>$A$4+(H31-24)*$A$16-SUM($K$3:K31)</f>
        <v>165644.44444444447</v>
      </c>
      <c r="M31" s="8">
        <f t="shared" ref="M31:M57" si="7">($A$16/(J31+0.000000001))*12</f>
        <v>7.643312101910768E-2</v>
      </c>
    </row>
    <row r="32" spans="2:13" x14ac:dyDescent="0.2">
      <c r="B32" s="1">
        <v>29</v>
      </c>
      <c r="C32" s="1">
        <f t="shared" si="0"/>
        <v>103333.33333333318</v>
      </c>
      <c r="D32" s="3">
        <f t="shared" si="3"/>
        <v>94633.333333333198</v>
      </c>
      <c r="E32" s="1">
        <f t="shared" si="6"/>
        <v>788.61111111110995</v>
      </c>
      <c r="F32" s="3">
        <f>$A$4+(B32+1)*$A$10-SUM($E$3:E32)</f>
        <v>172170.83333333337</v>
      </c>
      <c r="G32" s="3">
        <f t="shared" si="4"/>
        <v>3.8041563930921451E-2</v>
      </c>
      <c r="H32" s="8">
        <v>29</v>
      </c>
      <c r="I32" s="8">
        <f t="shared" si="1"/>
        <v>103333.33333333318</v>
      </c>
      <c r="J32" s="8">
        <f t="shared" ref="J32:J63" si="8">MAX(J31-$A$8-$A$16,0)</f>
        <v>100666.6666666665</v>
      </c>
      <c r="K32" s="8">
        <f t="shared" si="5"/>
        <v>838.88888888888744</v>
      </c>
      <c r="L32" s="8">
        <f>$A$4+(H32-24)*$A$16-SUM($K$3:K32)</f>
        <v>165472.22222222225</v>
      </c>
      <c r="M32" s="8">
        <f t="shared" si="7"/>
        <v>7.947019867549604E-2</v>
      </c>
    </row>
    <row r="33" spans="2:13" x14ac:dyDescent="0.2">
      <c r="B33" s="1">
        <v>30</v>
      </c>
      <c r="C33" s="1">
        <f t="shared" si="0"/>
        <v>99999.999999999854</v>
      </c>
      <c r="D33" s="3">
        <f t="shared" si="3"/>
        <v>90999.999999999869</v>
      </c>
      <c r="E33" s="1">
        <f t="shared" si="6"/>
        <v>758.33333333333223</v>
      </c>
      <c r="F33" s="3">
        <f>$A$4+(B33+1)*$A$10-SUM($E$3:E33)</f>
        <v>171712.50000000003</v>
      </c>
      <c r="G33" s="3">
        <f t="shared" si="4"/>
        <v>3.9560439560396135E-2</v>
      </c>
      <c r="H33" s="8">
        <v>30</v>
      </c>
      <c r="I33" s="8">
        <f t="shared" si="1"/>
        <v>99999.999999999854</v>
      </c>
      <c r="J33" s="8">
        <f t="shared" si="8"/>
        <v>96666.666666666497</v>
      </c>
      <c r="K33" s="8">
        <f t="shared" si="5"/>
        <v>805.55555555555418</v>
      </c>
      <c r="L33" s="8">
        <f>$A$4+(H33-24)*$A$16-SUM($K$3:K33)</f>
        <v>165333.33333333337</v>
      </c>
      <c r="M33" s="8">
        <f t="shared" si="7"/>
        <v>8.2758620689654463E-2</v>
      </c>
    </row>
    <row r="34" spans="2:13" x14ac:dyDescent="0.2">
      <c r="B34" s="1">
        <v>31</v>
      </c>
      <c r="C34" s="1">
        <f t="shared" si="0"/>
        <v>96666.666666666526</v>
      </c>
      <c r="D34" s="3">
        <f t="shared" si="3"/>
        <v>87366.666666666541</v>
      </c>
      <c r="E34" s="1">
        <f t="shared" si="6"/>
        <v>728.05555555555452</v>
      </c>
      <c r="F34" s="3">
        <f>$A$4+(B34+1)*$A$10-SUM($E$3:E34)</f>
        <v>171284.44444444447</v>
      </c>
      <c r="G34" s="3">
        <f t="shared" si="4"/>
        <v>4.1205646699685815E-2</v>
      </c>
      <c r="H34" s="8">
        <v>31</v>
      </c>
      <c r="I34" s="8">
        <f t="shared" si="1"/>
        <v>96666.666666666526</v>
      </c>
      <c r="J34" s="8">
        <f t="shared" si="8"/>
        <v>92666.666666666497</v>
      </c>
      <c r="K34" s="8">
        <f t="shared" si="5"/>
        <v>772.22222222222081</v>
      </c>
      <c r="L34" s="8">
        <f>$A$4+(H34-24)*$A$16-SUM($K$3:K34)</f>
        <v>165227.77777777781</v>
      </c>
      <c r="M34" s="8">
        <f t="shared" si="7"/>
        <v>8.6330935251797802E-2</v>
      </c>
    </row>
    <row r="35" spans="2:13" x14ac:dyDescent="0.2">
      <c r="B35" s="1">
        <v>32</v>
      </c>
      <c r="C35" s="1">
        <f t="shared" si="0"/>
        <v>93333.333333333198</v>
      </c>
      <c r="D35" s="3">
        <f t="shared" si="3"/>
        <v>83733.333333333212</v>
      </c>
      <c r="E35" s="1">
        <f t="shared" si="6"/>
        <v>697.77777777777681</v>
      </c>
      <c r="F35" s="3">
        <f>$A$4+(B35+1)*$A$10-SUM($E$3:E35)</f>
        <v>170886.66666666669</v>
      </c>
      <c r="G35" s="3">
        <f t="shared" si="4"/>
        <v>4.299363057319712E-2</v>
      </c>
      <c r="H35" s="8">
        <v>32</v>
      </c>
      <c r="I35" s="8">
        <f t="shared" si="1"/>
        <v>93333.333333333198</v>
      </c>
      <c r="J35" s="8">
        <f t="shared" si="8"/>
        <v>88666.666666666497</v>
      </c>
      <c r="K35" s="8">
        <f t="shared" si="5"/>
        <v>738.88888888888744</v>
      </c>
      <c r="L35" s="8">
        <f>$A$4+(H35-24)*$A$16-SUM($K$3:K35)</f>
        <v>165155.55555555559</v>
      </c>
      <c r="M35" s="8">
        <f t="shared" si="7"/>
        <v>9.0225563909773598E-2</v>
      </c>
    </row>
    <row r="36" spans="2:13" x14ac:dyDescent="0.2">
      <c r="B36" s="1">
        <v>33</v>
      </c>
      <c r="C36" s="1">
        <f t="shared" si="0"/>
        <v>89999.999999999869</v>
      </c>
      <c r="D36" s="3">
        <f t="shared" si="3"/>
        <v>80099.999999999884</v>
      </c>
      <c r="E36" s="1">
        <f t="shared" si="6"/>
        <v>667.49999999999898</v>
      </c>
      <c r="F36" s="3">
        <f>$A$4+(B36+1)*$A$10-SUM($E$3:E36)</f>
        <v>170519.16666666669</v>
      </c>
      <c r="G36" s="3">
        <f t="shared" si="4"/>
        <v>4.4943820224663047E-2</v>
      </c>
      <c r="H36" s="8">
        <v>33</v>
      </c>
      <c r="I36" s="8">
        <f t="shared" si="1"/>
        <v>89999.999999999869</v>
      </c>
      <c r="J36" s="8">
        <f t="shared" si="8"/>
        <v>84666.666666666497</v>
      </c>
      <c r="K36" s="8">
        <f t="shared" si="5"/>
        <v>705.55555555555418</v>
      </c>
      <c r="L36" s="8">
        <f>$A$4+(H36-24)*$A$16-SUM($K$3:K36)</f>
        <v>165116.66666666669</v>
      </c>
      <c r="M36" s="8">
        <f t="shared" si="7"/>
        <v>9.4488188976377036E-2</v>
      </c>
    </row>
    <row r="37" spans="2:13" x14ac:dyDescent="0.2">
      <c r="B37" s="1">
        <v>34</v>
      </c>
      <c r="C37" s="1">
        <f t="shared" ref="C37:C62" si="9">C36-$A$8</f>
        <v>86666.666666666541</v>
      </c>
      <c r="D37" s="3">
        <f t="shared" si="3"/>
        <v>76466.666666666555</v>
      </c>
      <c r="E37" s="1">
        <f t="shared" si="6"/>
        <v>637.22222222222126</v>
      </c>
      <c r="F37" s="3">
        <f>$A$4+(B37+1)*$A$10-SUM($E$3:E37)</f>
        <v>170181.94444444447</v>
      </c>
      <c r="G37" s="3">
        <f t="shared" si="4"/>
        <v>4.7079337401856533E-2</v>
      </c>
      <c r="H37" s="8">
        <v>34</v>
      </c>
      <c r="I37" s="8">
        <f t="shared" ref="I37:I62" si="10">I36-$A$8</f>
        <v>86666.666666666541</v>
      </c>
      <c r="J37" s="8">
        <f t="shared" si="8"/>
        <v>80666.666666666497</v>
      </c>
      <c r="K37" s="8">
        <f t="shared" si="5"/>
        <v>672.22222222222081</v>
      </c>
      <c r="L37" s="8">
        <f>$A$4+(H37-24)*$A$16-SUM($K$3:K37)</f>
        <v>165111.11111111112</v>
      </c>
      <c r="M37" s="8">
        <f t="shared" si="7"/>
        <v>9.917355371900724E-2</v>
      </c>
    </row>
    <row r="38" spans="2:13" x14ac:dyDescent="0.2">
      <c r="B38" s="1">
        <v>35</v>
      </c>
      <c r="C38" s="1">
        <f t="shared" si="9"/>
        <v>83333.333333333212</v>
      </c>
      <c r="D38" s="3">
        <f t="shared" si="3"/>
        <v>72833.333333333227</v>
      </c>
      <c r="E38" s="1">
        <f t="shared" si="6"/>
        <v>606.94444444444355</v>
      </c>
      <c r="F38" s="3">
        <f>$A$4+(B38+1)*$A$10-SUM($E$3:E38)</f>
        <v>169875.00000000003</v>
      </c>
      <c r="G38" s="3">
        <f t="shared" si="4"/>
        <v>4.9427917620069498E-2</v>
      </c>
      <c r="H38" s="8">
        <v>35</v>
      </c>
      <c r="I38" s="8">
        <f t="shared" si="10"/>
        <v>83333.333333333212</v>
      </c>
      <c r="J38" s="8">
        <f t="shared" si="8"/>
        <v>76666.666666666497</v>
      </c>
      <c r="K38" s="8">
        <f t="shared" si="5"/>
        <v>638.88888888888744</v>
      </c>
      <c r="L38" s="8">
        <f>$A$4+(H38-24)*$A$16-SUM($K$3:K38)</f>
        <v>165138.88888888893</v>
      </c>
      <c r="M38" s="8">
        <f t="shared" si="7"/>
        <v>0.10434782608695539</v>
      </c>
    </row>
    <row r="39" spans="2:13" x14ac:dyDescent="0.2">
      <c r="B39" s="1">
        <v>36</v>
      </c>
      <c r="C39" s="1">
        <f t="shared" si="9"/>
        <v>79999.999999999884</v>
      </c>
      <c r="D39" s="3">
        <f t="shared" si="3"/>
        <v>69199.999999999898</v>
      </c>
      <c r="E39" s="1">
        <f t="shared" si="6"/>
        <v>576.66666666666583</v>
      </c>
      <c r="F39" s="3">
        <f>$A$4+(B39+1)*$A$10-SUM($E$3:E39)</f>
        <v>169598.33333333337</v>
      </c>
      <c r="G39" s="3">
        <f t="shared" si="4"/>
        <v>5.2023121387208125E-2</v>
      </c>
      <c r="H39" s="8">
        <v>36</v>
      </c>
      <c r="I39" s="8">
        <f t="shared" si="10"/>
        <v>79999.999999999884</v>
      </c>
      <c r="J39" s="8">
        <f t="shared" si="8"/>
        <v>72666.666666666497</v>
      </c>
      <c r="K39" s="8">
        <f t="shared" si="5"/>
        <v>605.55555555555418</v>
      </c>
      <c r="L39" s="8">
        <f>$A$4+(H39-24)*$A$16-SUM($K$3:K39)</f>
        <v>165200.00000000003</v>
      </c>
      <c r="M39" s="8">
        <f t="shared" si="7"/>
        <v>0.11009174311926481</v>
      </c>
    </row>
    <row r="40" spans="2:13" x14ac:dyDescent="0.2">
      <c r="B40" s="1">
        <v>37</v>
      </c>
      <c r="C40" s="1">
        <f t="shared" si="9"/>
        <v>76666.666666666555</v>
      </c>
      <c r="D40" s="3">
        <f t="shared" si="3"/>
        <v>65566.66666666657</v>
      </c>
      <c r="E40" s="1">
        <f t="shared" si="6"/>
        <v>546.38888888888812</v>
      </c>
      <c r="F40" s="3">
        <f>$A$4+(B40+1)*$A$10-SUM($E$3:E40)</f>
        <v>169351.94444444447</v>
      </c>
      <c r="G40" s="3">
        <f t="shared" si="4"/>
        <v>5.4905948144298639E-2</v>
      </c>
      <c r="H40" s="8">
        <v>37</v>
      </c>
      <c r="I40" s="8">
        <f t="shared" si="10"/>
        <v>76666.666666666555</v>
      </c>
      <c r="J40" s="8">
        <f t="shared" si="8"/>
        <v>68666.666666666497</v>
      </c>
      <c r="K40" s="8">
        <f t="shared" si="5"/>
        <v>572.22222222222081</v>
      </c>
      <c r="L40" s="8">
        <f>$A$4+(H40-24)*$A$16-SUM($K$3:K40)</f>
        <v>165294.44444444447</v>
      </c>
      <c r="M40" s="8">
        <f t="shared" si="7"/>
        <v>0.11650485436893063</v>
      </c>
    </row>
    <row r="41" spans="2:13" x14ac:dyDescent="0.2">
      <c r="B41" s="1">
        <v>38</v>
      </c>
      <c r="C41" s="1">
        <f t="shared" si="9"/>
        <v>73333.333333333227</v>
      </c>
      <c r="D41" s="3">
        <f t="shared" si="3"/>
        <v>61933.333333333234</v>
      </c>
      <c r="E41" s="1">
        <f t="shared" si="6"/>
        <v>516.11111111111029</v>
      </c>
      <c r="F41" s="3">
        <f>$A$4+(B41+1)*$A$10-SUM($E$3:E41)</f>
        <v>169135.83333333337</v>
      </c>
      <c r="G41" s="3">
        <f t="shared" si="4"/>
        <v>5.8127018299152733E-2</v>
      </c>
      <c r="H41" s="8">
        <v>38</v>
      </c>
      <c r="I41" s="8">
        <f t="shared" si="10"/>
        <v>73333.333333333227</v>
      </c>
      <c r="J41" s="8">
        <f t="shared" si="8"/>
        <v>64666.666666666497</v>
      </c>
      <c r="K41" s="8">
        <f t="shared" si="5"/>
        <v>538.88888888888744</v>
      </c>
      <c r="L41" s="8">
        <f>$A$4+(H41-24)*$A$16-SUM($K$3:K41)</f>
        <v>165422.22222222225</v>
      </c>
      <c r="M41" s="8">
        <f t="shared" si="7"/>
        <v>0.123711340206184</v>
      </c>
    </row>
    <row r="42" spans="2:13" x14ac:dyDescent="0.2">
      <c r="B42" s="1">
        <v>39</v>
      </c>
      <c r="C42" s="1">
        <f t="shared" si="9"/>
        <v>69999.999999999898</v>
      </c>
      <c r="D42" s="3">
        <f t="shared" si="3"/>
        <v>58299.999999999898</v>
      </c>
      <c r="E42" s="1">
        <f t="shared" si="6"/>
        <v>485.83333333333246</v>
      </c>
      <c r="F42" s="3">
        <f>$A$4+(B42+1)*$A$10-SUM($E$3:E42)</f>
        <v>168950.00000000003</v>
      </c>
      <c r="G42" s="3">
        <f t="shared" si="4"/>
        <v>6.174957118342763E-2</v>
      </c>
      <c r="H42" s="8">
        <v>39</v>
      </c>
      <c r="I42" s="8">
        <f t="shared" si="10"/>
        <v>69999.999999999898</v>
      </c>
      <c r="J42" s="8">
        <f t="shared" si="8"/>
        <v>60666.666666666497</v>
      </c>
      <c r="K42" s="8">
        <f t="shared" si="5"/>
        <v>505.55555555555412</v>
      </c>
      <c r="L42" s="8">
        <f>$A$4+(H42-24)*$A$16-SUM($K$3:K42)</f>
        <v>165583.33333333337</v>
      </c>
      <c r="M42" s="8">
        <f t="shared" si="7"/>
        <v>0.1318681318681301</v>
      </c>
    </row>
    <row r="43" spans="2:13" x14ac:dyDescent="0.2">
      <c r="B43" s="1">
        <v>40</v>
      </c>
      <c r="C43" s="1">
        <f t="shared" si="9"/>
        <v>66666.66666666657</v>
      </c>
      <c r="D43" s="3">
        <f t="shared" si="3"/>
        <v>54666.666666666562</v>
      </c>
      <c r="E43" s="1">
        <f t="shared" si="6"/>
        <v>455.55555555555469</v>
      </c>
      <c r="F43" s="3">
        <f>$A$4+(B43+1)*$A$10-SUM($E$3:E43)</f>
        <v>168794.44444444447</v>
      </c>
      <c r="G43" s="3">
        <f t="shared" si="4"/>
        <v>6.5853658536465007E-2</v>
      </c>
      <c r="H43" s="8">
        <v>40</v>
      </c>
      <c r="I43" s="8">
        <f t="shared" si="10"/>
        <v>66666.66666666657</v>
      </c>
      <c r="J43" s="8">
        <f t="shared" si="8"/>
        <v>56666.666666666497</v>
      </c>
      <c r="K43" s="8">
        <f t="shared" si="5"/>
        <v>472.22222222222081</v>
      </c>
      <c r="L43" s="8">
        <f>$A$4+(H43-24)*$A$16-SUM($K$3:K43)</f>
        <v>165777.77777777781</v>
      </c>
      <c r="M43" s="8">
        <f t="shared" si="7"/>
        <v>0.14117647058823324</v>
      </c>
    </row>
    <row r="44" spans="2:13" x14ac:dyDescent="0.2">
      <c r="B44" s="1">
        <v>41</v>
      </c>
      <c r="C44" s="1">
        <f t="shared" si="9"/>
        <v>63333.333333333234</v>
      </c>
      <c r="D44" s="3">
        <f t="shared" si="3"/>
        <v>51033.333333333227</v>
      </c>
      <c r="E44" s="1">
        <f t="shared" si="6"/>
        <v>425.27777777777686</v>
      </c>
      <c r="F44" s="3">
        <f>$A$4+(B44+1)*$A$10-SUM($E$3:E44)</f>
        <v>168669.16666666669</v>
      </c>
      <c r="G44" s="3">
        <f t="shared" si="4"/>
        <v>7.054212932709901E-2</v>
      </c>
      <c r="H44" s="8">
        <v>41</v>
      </c>
      <c r="I44" s="8">
        <f t="shared" si="10"/>
        <v>63333.333333333234</v>
      </c>
      <c r="J44" s="8">
        <f t="shared" si="8"/>
        <v>52666.666666666497</v>
      </c>
      <c r="K44" s="8">
        <f t="shared" si="5"/>
        <v>438.88888888888749</v>
      </c>
      <c r="L44" s="8">
        <f>$A$4+(H44-24)*$A$16-SUM($K$3:K44)</f>
        <v>166005.55555555559</v>
      </c>
      <c r="M44" s="8">
        <f t="shared" si="7"/>
        <v>0.15189873417721281</v>
      </c>
    </row>
    <row r="45" spans="2:13" x14ac:dyDescent="0.2">
      <c r="B45" s="1">
        <v>42</v>
      </c>
      <c r="C45" s="1">
        <f t="shared" si="9"/>
        <v>59999.999999999898</v>
      </c>
      <c r="D45" s="3">
        <f t="shared" si="3"/>
        <v>47399.999999999891</v>
      </c>
      <c r="E45" s="1">
        <f t="shared" si="6"/>
        <v>394.99999999999909</v>
      </c>
      <c r="F45" s="3">
        <f>$A$4+(B45+1)*$A$10-SUM($E$3:E45)</f>
        <v>168574.16666666669</v>
      </c>
      <c r="G45" s="3">
        <f t="shared" si="4"/>
        <v>7.5949367088447517E-2</v>
      </c>
      <c r="H45" s="8">
        <v>42</v>
      </c>
      <c r="I45" s="8">
        <f t="shared" si="10"/>
        <v>59999.999999999898</v>
      </c>
      <c r="J45" s="8">
        <f t="shared" si="8"/>
        <v>48666.666666666497</v>
      </c>
      <c r="K45" s="8">
        <f t="shared" si="5"/>
        <v>405.55555555555412</v>
      </c>
      <c r="L45" s="8">
        <f>$A$4+(H45-24)*$A$16-SUM($K$3:K45)</f>
        <v>166266.66666666669</v>
      </c>
      <c r="M45" s="8">
        <f t="shared" si="7"/>
        <v>0.16438356164383283</v>
      </c>
    </row>
    <row r="46" spans="2:13" x14ac:dyDescent="0.2">
      <c r="B46" s="1">
        <v>43</v>
      </c>
      <c r="C46" s="1">
        <f t="shared" si="9"/>
        <v>56666.666666666562</v>
      </c>
      <c r="D46" s="3">
        <f t="shared" si="3"/>
        <v>43766.666666666555</v>
      </c>
      <c r="E46" s="1">
        <f t="shared" si="6"/>
        <v>364.72222222222126</v>
      </c>
      <c r="F46" s="3">
        <f>$A$4+(B46+1)*$A$10-SUM($E$3:E46)</f>
        <v>168509.4444444445</v>
      </c>
      <c r="G46" s="3">
        <f t="shared" si="4"/>
        <v>8.2254379283894508E-2</v>
      </c>
      <c r="H46" s="8">
        <v>43</v>
      </c>
      <c r="I46" s="8">
        <f t="shared" si="10"/>
        <v>56666.666666666562</v>
      </c>
      <c r="J46" s="8">
        <f t="shared" si="8"/>
        <v>44666.666666666497</v>
      </c>
      <c r="K46" s="8">
        <f t="shared" si="5"/>
        <v>372.22222222222081</v>
      </c>
      <c r="L46" s="8">
        <f>$A$4+(H46-24)*$A$16-SUM($K$3:K46)</f>
        <v>166561.11111111112</v>
      </c>
      <c r="M46" s="8">
        <f t="shared" si="7"/>
        <v>0.17910447761193701</v>
      </c>
    </row>
    <row r="47" spans="2:13" x14ac:dyDescent="0.2">
      <c r="B47" s="1">
        <v>44</v>
      </c>
      <c r="C47" s="1">
        <f t="shared" si="9"/>
        <v>53333.333333333227</v>
      </c>
      <c r="D47" s="3">
        <f t="shared" si="3"/>
        <v>40133.333333333219</v>
      </c>
      <c r="E47" s="1">
        <f t="shared" si="6"/>
        <v>334.44444444444349</v>
      </c>
      <c r="F47" s="3">
        <f>$A$4+(B47+1)*$A$10-SUM($E$3:E47)</f>
        <v>168475.00000000003</v>
      </c>
      <c r="G47" s="3">
        <f t="shared" si="4"/>
        <v>8.9700996677517589E-2</v>
      </c>
      <c r="H47" s="8">
        <v>44</v>
      </c>
      <c r="I47" s="8">
        <f t="shared" si="10"/>
        <v>53333.333333333227</v>
      </c>
      <c r="J47" s="8">
        <f t="shared" si="8"/>
        <v>40666.666666666497</v>
      </c>
      <c r="K47" s="8">
        <f t="shared" si="5"/>
        <v>338.88888888888749</v>
      </c>
      <c r="L47" s="8">
        <f>$A$4+(H47-24)*$A$16-SUM($K$3:K47)</f>
        <v>166888.88888888893</v>
      </c>
      <c r="M47" s="8">
        <f t="shared" si="7"/>
        <v>0.19672131147540584</v>
      </c>
    </row>
    <row r="48" spans="2:13" x14ac:dyDescent="0.2">
      <c r="B48" s="1">
        <v>45</v>
      </c>
      <c r="C48" s="1">
        <f t="shared" si="9"/>
        <v>49999.999999999891</v>
      </c>
      <c r="D48" s="3">
        <f t="shared" si="3"/>
        <v>36499.999999999884</v>
      </c>
      <c r="E48" s="1">
        <f t="shared" si="6"/>
        <v>304.16666666666572</v>
      </c>
      <c r="F48" s="3">
        <f>$A$4+(B48+1)*$A$10-SUM($E$3:E48)</f>
        <v>168470.83333333337</v>
      </c>
      <c r="G48" s="3">
        <f t="shared" si="4"/>
        <v>9.8630136986031458E-2</v>
      </c>
      <c r="H48" s="8">
        <v>45</v>
      </c>
      <c r="I48" s="8">
        <f t="shared" si="10"/>
        <v>49999.999999999891</v>
      </c>
      <c r="J48" s="8">
        <f t="shared" si="8"/>
        <v>36666.666666666497</v>
      </c>
      <c r="K48" s="8">
        <f t="shared" si="5"/>
        <v>305.55555555555412</v>
      </c>
      <c r="L48" s="8">
        <f>$A$4+(H48-24)*$A$16-SUM($K$3:K48)</f>
        <v>167250.00000000003</v>
      </c>
      <c r="M48" s="8">
        <f t="shared" si="7"/>
        <v>0.21818181818181331</v>
      </c>
    </row>
    <row r="49" spans="1:13" x14ac:dyDescent="0.2">
      <c r="B49" s="1">
        <v>46</v>
      </c>
      <c r="C49" s="1">
        <f t="shared" si="9"/>
        <v>46666.666666666555</v>
      </c>
      <c r="D49" s="3">
        <f t="shared" si="3"/>
        <v>32866.666666666548</v>
      </c>
      <c r="E49" s="1">
        <f t="shared" si="6"/>
        <v>273.88888888888789</v>
      </c>
      <c r="F49" s="3">
        <f>$A$4+(B49+1)*$A$10-SUM($E$3:E49)</f>
        <v>168496.9444444445</v>
      </c>
      <c r="G49" s="3">
        <f t="shared" si="4"/>
        <v>0.10953346855950483</v>
      </c>
      <c r="H49" s="8">
        <v>46</v>
      </c>
      <c r="I49" s="8">
        <f t="shared" si="10"/>
        <v>46666.666666666555</v>
      </c>
      <c r="J49" s="8">
        <f t="shared" si="8"/>
        <v>32666.666666666493</v>
      </c>
      <c r="K49" s="8">
        <f t="shared" si="5"/>
        <v>272.22222222222075</v>
      </c>
      <c r="L49" s="8">
        <f>$A$4+(H49-24)*$A$16-SUM($K$3:K49)</f>
        <v>167644.44444444447</v>
      </c>
      <c r="M49" s="8">
        <f t="shared" si="7"/>
        <v>0.2448979591836673</v>
      </c>
    </row>
    <row r="50" spans="1:13" x14ac:dyDescent="0.2">
      <c r="B50" s="1">
        <v>47</v>
      </c>
      <c r="C50" s="1">
        <f t="shared" si="9"/>
        <v>43333.333333333219</v>
      </c>
      <c r="D50" s="3">
        <f t="shared" si="3"/>
        <v>29233.333333333216</v>
      </c>
      <c r="E50" s="1">
        <f t="shared" si="6"/>
        <v>243.61111111111012</v>
      </c>
      <c r="F50" s="3">
        <f>$A$4+(B50+1)*$A$10-SUM($E$3:E50)</f>
        <v>168553.33333333337</v>
      </c>
      <c r="G50" s="3">
        <f t="shared" si="4"/>
        <v>0.12314709235989849</v>
      </c>
      <c r="H50" s="8">
        <v>47</v>
      </c>
      <c r="I50" s="8">
        <f t="shared" si="10"/>
        <v>43333.333333333219</v>
      </c>
      <c r="J50" s="8">
        <f t="shared" si="8"/>
        <v>28666.666666666493</v>
      </c>
      <c r="K50" s="8">
        <f t="shared" si="5"/>
        <v>238.88888888888744</v>
      </c>
      <c r="L50" s="8">
        <f>$A$4+(H50-24)*$A$16-SUM($K$3:K50)</f>
        <v>168072.22222222228</v>
      </c>
      <c r="M50" s="8">
        <f t="shared" si="7"/>
        <v>0.27906976744185241</v>
      </c>
    </row>
    <row r="51" spans="1:13" x14ac:dyDescent="0.2">
      <c r="B51" s="1">
        <v>48</v>
      </c>
      <c r="C51" s="1">
        <f t="shared" si="9"/>
        <v>39999.999999999884</v>
      </c>
      <c r="D51" s="3">
        <f t="shared" si="3"/>
        <v>25599.999999999884</v>
      </c>
      <c r="E51" s="1">
        <f t="shared" si="6"/>
        <v>213.33333333333235</v>
      </c>
      <c r="F51" s="3">
        <f>$A$4+(B51+1)*$A$10-SUM($E$3:E51)</f>
        <v>168640.00000000003</v>
      </c>
      <c r="G51" s="3">
        <f t="shared" si="4"/>
        <v>0.1406249999994513</v>
      </c>
      <c r="H51" s="8">
        <v>48</v>
      </c>
      <c r="I51" s="8">
        <f t="shared" si="10"/>
        <v>39999.999999999884</v>
      </c>
      <c r="J51" s="8">
        <f t="shared" si="8"/>
        <v>24666.666666666493</v>
      </c>
      <c r="K51" s="8">
        <f t="shared" si="5"/>
        <v>205.55555555555409</v>
      </c>
      <c r="L51" s="8">
        <f>$A$4+(H51-24)*$A$16-SUM($K$3:K51)</f>
        <v>168533.33333333337</v>
      </c>
      <c r="M51" s="8">
        <f t="shared" si="7"/>
        <v>0.32432432432431346</v>
      </c>
    </row>
    <row r="52" spans="1:13" x14ac:dyDescent="0.2">
      <c r="B52" s="1">
        <v>49</v>
      </c>
      <c r="C52" s="1">
        <f t="shared" si="9"/>
        <v>36666.666666666548</v>
      </c>
      <c r="D52" s="3">
        <f t="shared" si="3"/>
        <v>21966.666666666551</v>
      </c>
      <c r="E52" s="1">
        <f t="shared" si="6"/>
        <v>183.05555555555461</v>
      </c>
      <c r="F52" s="3">
        <f>$A$4+(B52+1)*$A$10-SUM($E$3:E52)</f>
        <v>168756.9444444445</v>
      </c>
      <c r="G52" s="3">
        <f t="shared" si="4"/>
        <v>0.16388467374735796</v>
      </c>
      <c r="H52" s="8">
        <v>49</v>
      </c>
      <c r="I52" s="8">
        <f t="shared" si="10"/>
        <v>36666.666666666548</v>
      </c>
      <c r="J52" s="8">
        <f t="shared" si="8"/>
        <v>20666.666666666493</v>
      </c>
      <c r="K52" s="8">
        <f t="shared" si="5"/>
        <v>172.22222222222078</v>
      </c>
      <c r="L52" s="8">
        <f>$A$4+(H52-24)*$A$16-SUM($K$3:K52)</f>
        <v>169027.77777777781</v>
      </c>
      <c r="M52" s="8">
        <f t="shared" si="7"/>
        <v>0.38709677419353294</v>
      </c>
    </row>
    <row r="53" spans="1:13" x14ac:dyDescent="0.2">
      <c r="B53" s="1">
        <v>50</v>
      </c>
      <c r="C53" s="1">
        <f t="shared" si="9"/>
        <v>33333.333333333212</v>
      </c>
      <c r="D53" s="3">
        <f t="shared" si="3"/>
        <v>18333.333333333219</v>
      </c>
      <c r="E53" s="1">
        <f t="shared" si="6"/>
        <v>152.77777777777683</v>
      </c>
      <c r="F53" s="3">
        <f>$A$4+(B53+1)*$A$10-SUM($E$3:E53)</f>
        <v>168904.16666666672</v>
      </c>
      <c r="G53" s="3">
        <f t="shared" si="4"/>
        <v>0.19636363636256648</v>
      </c>
      <c r="H53" s="8">
        <v>50</v>
      </c>
      <c r="I53" s="8">
        <f t="shared" si="10"/>
        <v>33333.333333333212</v>
      </c>
      <c r="J53" s="8">
        <f t="shared" si="8"/>
        <v>16666.666666666493</v>
      </c>
      <c r="K53" s="8">
        <f t="shared" si="5"/>
        <v>138.88888888888744</v>
      </c>
      <c r="L53" s="8">
        <f>$A$4+(H53-24)*$A$16-SUM($K$3:K53)</f>
        <v>169555.55555555562</v>
      </c>
      <c r="M53" s="8">
        <f t="shared" si="7"/>
        <v>0.47999999999997622</v>
      </c>
    </row>
    <row r="54" spans="1:13" x14ac:dyDescent="0.2">
      <c r="B54" s="1">
        <v>51</v>
      </c>
      <c r="C54" s="1">
        <f t="shared" si="9"/>
        <v>29999.99999999988</v>
      </c>
      <c r="D54" s="3">
        <f t="shared" si="3"/>
        <v>14699.999999999885</v>
      </c>
      <c r="E54" s="1">
        <f t="shared" si="6"/>
        <v>122.49999999999905</v>
      </c>
      <c r="F54" s="3">
        <f>$A$4+(B54+1)*$A$10-SUM($E$3:E54)</f>
        <v>169081.66666666672</v>
      </c>
      <c r="G54" s="3">
        <f t="shared" si="4"/>
        <v>0.24489795918200935</v>
      </c>
      <c r="H54" s="8">
        <v>51</v>
      </c>
      <c r="I54" s="8">
        <f t="shared" si="10"/>
        <v>29999.99999999988</v>
      </c>
      <c r="J54" s="8">
        <f t="shared" si="8"/>
        <v>12666.666666666493</v>
      </c>
      <c r="K54" s="8">
        <f t="shared" si="5"/>
        <v>105.55555555555411</v>
      </c>
      <c r="L54" s="8">
        <f>$A$4+(H54-24)*$A$16-SUM($K$3:K54)</f>
        <v>170116.66666666672</v>
      </c>
      <c r="M54" s="8">
        <f t="shared" si="7"/>
        <v>0.63157894736837994</v>
      </c>
    </row>
    <row r="55" spans="1:13" x14ac:dyDescent="0.2">
      <c r="B55" s="1">
        <v>52</v>
      </c>
      <c r="C55" s="1">
        <f t="shared" si="9"/>
        <v>26666.666666666548</v>
      </c>
      <c r="D55" s="3">
        <f t="shared" si="3"/>
        <v>11066.666666666551</v>
      </c>
      <c r="E55" s="1">
        <f t="shared" si="6"/>
        <v>92.222222222221262</v>
      </c>
      <c r="F55" s="3">
        <f>$A$4+(B55+1)*$A$10-SUM($E$3:E55)</f>
        <v>169289.4444444445</v>
      </c>
      <c r="G55" s="3">
        <f t="shared" si="4"/>
        <v>0.32530120481634095</v>
      </c>
      <c r="H55" s="8">
        <v>52</v>
      </c>
      <c r="I55" s="8">
        <f t="shared" si="10"/>
        <v>26666.666666666548</v>
      </c>
      <c r="J55" s="8">
        <f t="shared" si="8"/>
        <v>8666.6666666664933</v>
      </c>
      <c r="K55" s="8">
        <f t="shared" si="5"/>
        <v>72.222222222220779</v>
      </c>
      <c r="L55" s="8">
        <f>$A$4+(H55-24)*$A$16-SUM($K$3:K55)</f>
        <v>170711.11111111115</v>
      </c>
      <c r="M55" s="8">
        <f t="shared" si="7"/>
        <v>0.92307692307683498</v>
      </c>
    </row>
    <row r="56" spans="1:13" x14ac:dyDescent="0.2">
      <c r="B56" s="1">
        <v>53</v>
      </c>
      <c r="C56" s="1">
        <f t="shared" si="9"/>
        <v>23333.333333333216</v>
      </c>
      <c r="D56" s="3">
        <f t="shared" si="3"/>
        <v>7433.3333333332175</v>
      </c>
      <c r="E56" s="1">
        <f t="shared" si="6"/>
        <v>61.944444444443477</v>
      </c>
      <c r="F56" s="3">
        <f>$A$4+(B56+1)*$A$10-SUM($E$3:E56)</f>
        <v>169527.50000000006</v>
      </c>
      <c r="G56" s="3">
        <f t="shared" si="4"/>
        <v>0.48430493272891817</v>
      </c>
      <c r="H56" s="8">
        <v>53</v>
      </c>
      <c r="I56" s="8">
        <f t="shared" si="10"/>
        <v>23333.333333333216</v>
      </c>
      <c r="J56" s="8">
        <f t="shared" si="8"/>
        <v>4666.6666666664923</v>
      </c>
      <c r="K56" s="8">
        <f t="shared" si="5"/>
        <v>38.888888888887436</v>
      </c>
      <c r="L56" s="8">
        <f>$A$4+(H56-24)*$A$16-SUM($K$3:K56)</f>
        <v>171338.88888888893</v>
      </c>
      <c r="M56" s="8">
        <f t="shared" si="7"/>
        <v>1.7142857142854111</v>
      </c>
    </row>
    <row r="57" spans="1:13" x14ac:dyDescent="0.2">
      <c r="B57" s="1">
        <v>54</v>
      </c>
      <c r="C57" s="1">
        <f t="shared" si="9"/>
        <v>19999.999999999884</v>
      </c>
      <c r="D57" s="3">
        <f t="shared" si="3"/>
        <v>3799.9999999998836</v>
      </c>
      <c r="E57" s="1">
        <f t="shared" si="6"/>
        <v>31.666666666665694</v>
      </c>
      <c r="F57" s="3">
        <f>$A$4+(B57+1)*$A$10-SUM($E$3:E57)</f>
        <v>169795.83333333337</v>
      </c>
      <c r="G57" s="3">
        <f t="shared" si="4"/>
        <v>0.94736842102772978</v>
      </c>
      <c r="H57" s="8">
        <v>54</v>
      </c>
      <c r="I57" s="8">
        <f t="shared" si="10"/>
        <v>19999.999999999884</v>
      </c>
      <c r="J57" s="8">
        <f t="shared" si="8"/>
        <v>666.66666666649212</v>
      </c>
      <c r="K57" s="8">
        <f t="shared" si="5"/>
        <v>5.5555555555541005</v>
      </c>
      <c r="L57" s="8">
        <f>$A$4+(H57-24)*$A$16-SUM($K$3:K57)</f>
        <v>172000.00000000006</v>
      </c>
      <c r="M57" s="8">
        <f t="shared" si="7"/>
        <v>11.999999999985144</v>
      </c>
    </row>
    <row r="58" spans="1:13" x14ac:dyDescent="0.2">
      <c r="B58" s="1">
        <v>55</v>
      </c>
      <c r="C58" s="1">
        <f t="shared" si="9"/>
        <v>16666.666666666551</v>
      </c>
      <c r="D58" s="3">
        <f t="shared" si="3"/>
        <v>166.66666666655016</v>
      </c>
      <c r="E58" s="1">
        <f t="shared" si="6"/>
        <v>1.3888888888879181</v>
      </c>
      <c r="F58" s="3">
        <f>$A$4+(B58+1)*$A$10-SUM($E$3:E58)</f>
        <v>170094.4444444445</v>
      </c>
      <c r="G58" s="3">
        <f t="shared" si="4"/>
        <v>21.599999987055096</v>
      </c>
      <c r="H58" s="8">
        <v>55</v>
      </c>
      <c r="I58" s="8">
        <f t="shared" si="10"/>
        <v>16666.666666666551</v>
      </c>
      <c r="J58" s="8">
        <f t="shared" si="8"/>
        <v>0</v>
      </c>
      <c r="K58" s="8">
        <f t="shared" si="5"/>
        <v>0</v>
      </c>
      <c r="L58" s="8">
        <f>$A$4+(H58-24)*$A$16-SUM($K$3:K58)</f>
        <v>172666.66666666669</v>
      </c>
      <c r="M58" s="8">
        <f>($A$16/(J58+0.000000001))*12</f>
        <v>8000000000000.001</v>
      </c>
    </row>
    <row r="59" spans="1:13" x14ac:dyDescent="0.2">
      <c r="B59" s="1">
        <v>56</v>
      </c>
      <c r="C59" s="1">
        <f t="shared" si="9"/>
        <v>13333.333333333218</v>
      </c>
      <c r="D59" s="3">
        <f>MAX(D58-$A$8-$A$10,0)</f>
        <v>0</v>
      </c>
      <c r="E59" s="1">
        <f t="shared" si="6"/>
        <v>0</v>
      </c>
      <c r="F59" s="3">
        <f>$A$4+(B59+1)*$A$10-SUM($E$3:E59)</f>
        <v>170394.4444444445</v>
      </c>
      <c r="G59" s="3">
        <f>($A$10/(D59+0.0000001))*12</f>
        <v>35999999999.999992</v>
      </c>
      <c r="H59" s="8">
        <v>56</v>
      </c>
      <c r="I59" s="8">
        <f t="shared" si="10"/>
        <v>13333.333333333218</v>
      </c>
      <c r="J59" s="8">
        <f t="shared" si="8"/>
        <v>0</v>
      </c>
      <c r="K59" s="8">
        <f t="shared" si="5"/>
        <v>0</v>
      </c>
      <c r="L59" s="8">
        <f>$A$4+(H59-24)*$A$16-SUM($K$3:K59)</f>
        <v>173333.33333333337</v>
      </c>
      <c r="M59" s="8">
        <f>($A$16/(J59+0.000000001))*12</f>
        <v>8000000000000.001</v>
      </c>
    </row>
    <row r="60" spans="1:13" x14ac:dyDescent="0.2">
      <c r="B60" s="1">
        <v>57</v>
      </c>
      <c r="C60" s="1">
        <f t="shared" si="9"/>
        <v>9999.9999999998836</v>
      </c>
      <c r="D60" s="3">
        <f>MAX(D59-$A$8-$A$10,0)</f>
        <v>0</v>
      </c>
      <c r="E60" s="1">
        <f t="shared" si="6"/>
        <v>0</v>
      </c>
      <c r="F60" s="3">
        <f>$A$4+(B60+1)*$A$10-SUM($E$3:E60)</f>
        <v>170694.4444444445</v>
      </c>
      <c r="G60" s="3">
        <f>($A$10/(D60+0.0000001))*12</f>
        <v>35999999999.999992</v>
      </c>
      <c r="H60" s="8">
        <v>57</v>
      </c>
      <c r="I60" s="8">
        <f t="shared" si="10"/>
        <v>9999.9999999998836</v>
      </c>
      <c r="J60" s="8">
        <f t="shared" si="8"/>
        <v>0</v>
      </c>
      <c r="K60" s="8">
        <f t="shared" si="5"/>
        <v>0</v>
      </c>
      <c r="L60" s="8">
        <f>$A$4+(H60-24)*$A$16-SUM($K$3:K60)</f>
        <v>174000.00000000006</v>
      </c>
      <c r="M60" s="8">
        <f>($A$16/(J60+0.000000001))*12</f>
        <v>8000000000000.001</v>
      </c>
    </row>
    <row r="61" spans="1:13" x14ac:dyDescent="0.2">
      <c r="B61" s="1">
        <v>58</v>
      </c>
      <c r="C61" s="1">
        <f t="shared" si="9"/>
        <v>6666.6666666665496</v>
      </c>
      <c r="D61" s="3">
        <f t="shared" ref="D61:D63" si="11">MAX(D60-$A$8-$A$10,0)</f>
        <v>0</v>
      </c>
      <c r="E61" s="1">
        <f t="shared" si="6"/>
        <v>0</v>
      </c>
      <c r="F61" s="3">
        <f>$A$4+(B61+1)*$A$10-SUM($E$3:E61)</f>
        <v>170994.4444444445</v>
      </c>
      <c r="G61" s="3">
        <f t="shared" ref="G61:G63" si="12">($A$10/(D61+0.0000001))*12</f>
        <v>35999999999.999992</v>
      </c>
      <c r="H61" s="8">
        <v>58</v>
      </c>
      <c r="I61" s="8">
        <f t="shared" si="10"/>
        <v>6666.6666666665496</v>
      </c>
      <c r="J61" s="8">
        <f t="shared" si="8"/>
        <v>0</v>
      </c>
      <c r="K61" s="8">
        <f t="shared" si="5"/>
        <v>0</v>
      </c>
      <c r="L61" s="8">
        <f>$A$4+(H61-24)*$A$16-SUM($K$3:K61)</f>
        <v>174666.66666666669</v>
      </c>
      <c r="M61" s="8">
        <f t="shared" ref="M61:M63" si="13">($A$16/(J61+0.000000001))*12</f>
        <v>8000000000000.001</v>
      </c>
    </row>
    <row r="62" spans="1:13" x14ac:dyDescent="0.2">
      <c r="B62" s="1">
        <v>59</v>
      </c>
      <c r="C62" s="1">
        <f t="shared" si="9"/>
        <v>3333.3333333332162</v>
      </c>
      <c r="D62" s="3">
        <f t="shared" si="11"/>
        <v>0</v>
      </c>
      <c r="E62" s="1">
        <f t="shared" si="6"/>
        <v>0</v>
      </c>
      <c r="F62" s="3">
        <f>$A$4+(B62+1)*$A$10-SUM($E$3:E62)</f>
        <v>171294.4444444445</v>
      </c>
      <c r="G62" s="3">
        <f t="shared" si="12"/>
        <v>35999999999.999992</v>
      </c>
      <c r="H62" s="8">
        <v>59</v>
      </c>
      <c r="I62" s="8">
        <f t="shared" si="10"/>
        <v>3333.3333333332162</v>
      </c>
      <c r="J62" s="8">
        <f t="shared" si="8"/>
        <v>0</v>
      </c>
      <c r="K62" s="8">
        <f t="shared" si="5"/>
        <v>0</v>
      </c>
      <c r="L62" s="8">
        <f>$A$4+(H62-24)*$A$16-SUM($K$3:K62)</f>
        <v>175333.33333333337</v>
      </c>
      <c r="M62" s="8">
        <f t="shared" si="13"/>
        <v>8000000000000.001</v>
      </c>
    </row>
    <row r="63" spans="1:13" x14ac:dyDescent="0.2">
      <c r="B63" s="1">
        <v>60</v>
      </c>
      <c r="C63" s="1">
        <v>0</v>
      </c>
      <c r="D63" s="3">
        <f t="shared" si="11"/>
        <v>0</v>
      </c>
      <c r="E63" s="1">
        <f t="shared" si="6"/>
        <v>0</v>
      </c>
      <c r="F63" s="3">
        <f>$A$4+(B63+1)*$A$10-SUM($E$3:E63)</f>
        <v>171594.4444444445</v>
      </c>
      <c r="G63" s="3">
        <f t="shared" si="12"/>
        <v>35999999999.999992</v>
      </c>
      <c r="H63" s="8">
        <v>60</v>
      </c>
      <c r="I63" s="8">
        <v>0</v>
      </c>
      <c r="J63" s="8">
        <f t="shared" si="8"/>
        <v>0</v>
      </c>
      <c r="K63" s="8">
        <f t="shared" si="5"/>
        <v>0</v>
      </c>
      <c r="L63" s="8">
        <f>$A$4+(H63-24)*$A$16-SUM($K$3:K63)</f>
        <v>176000.00000000006</v>
      </c>
      <c r="M63" s="8">
        <f t="shared" si="13"/>
        <v>8000000000000.001</v>
      </c>
    </row>
    <row r="64" spans="1:13" x14ac:dyDescent="0.2">
      <c r="A64" s="17" t="s">
        <v>13</v>
      </c>
      <c r="B64" s="18"/>
      <c r="C64" s="18"/>
      <c r="D64" s="18"/>
      <c r="E64" s="18"/>
      <c r="F64" s="18">
        <f>MIN(F3:F63)</f>
        <v>168470.83333333337</v>
      </c>
      <c r="G64" s="18"/>
      <c r="H64" s="18"/>
      <c r="I64" s="18"/>
      <c r="J64" s="18"/>
      <c r="K64" s="18"/>
      <c r="L64" s="18">
        <f>MIN(L3:L63)</f>
        <v>165111.11111111112</v>
      </c>
      <c r="M64" s="18"/>
    </row>
  </sheetData>
  <mergeCells count="2">
    <mergeCell ref="B1:G1"/>
    <mergeCell ref="H1:M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金酱</dc:creator>
  <cp:lastModifiedBy>酱 金</cp:lastModifiedBy>
  <dcterms:created xsi:type="dcterms:W3CDTF">2015-06-05T18:19:34Z</dcterms:created>
  <dcterms:modified xsi:type="dcterms:W3CDTF">2025-11-26T09:05:16Z</dcterms:modified>
</cp:coreProperties>
</file>