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AXGU\Desktop\"/>
    </mc:Choice>
  </mc:AlternateContent>
  <xr:revisionPtr revIDLastSave="0" documentId="13_ncr:1_{DE6A9F01-1597-4074-8357-49A02C54403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4" i="1"/>
  <c r="F11" i="1"/>
  <c r="D4" i="1"/>
  <c r="E2" i="1"/>
  <c r="E4" i="1"/>
  <c r="F2" i="1"/>
  <c r="A22" i="1"/>
  <c r="A20" i="1"/>
  <c r="A12" i="1"/>
  <c r="A14" i="1"/>
  <c r="B2" i="1"/>
  <c r="B4" i="1" s="1"/>
  <c r="C4" i="1" s="1"/>
  <c r="B6" i="1" l="1"/>
  <c r="C6" i="1" s="1"/>
  <c r="C2" i="1"/>
  <c r="D2" i="1" s="1"/>
</calcChain>
</file>

<file path=xl/sharedStrings.xml><?xml version="1.0" encoding="utf-8"?>
<sst xmlns="http://schemas.openxmlformats.org/spreadsheetml/2006/main" count="64" uniqueCount="30">
  <si>
    <t>个税速算表（应纳税额：月）</t>
    <phoneticPr fontId="5" type="noConversion"/>
  </si>
  <si>
    <t>基本减除费用</t>
    <phoneticPr fontId="5" type="noConversion"/>
  </si>
  <si>
    <t>双公积金：元/月</t>
    <phoneticPr fontId="5" type="noConversion"/>
  </si>
  <si>
    <t>公积金缴纳比例（个人）</t>
    <phoneticPr fontId="5" type="noConversion"/>
  </si>
  <si>
    <t>公积金缴纳比例（单位）</t>
    <phoneticPr fontId="5" type="noConversion"/>
  </si>
  <si>
    <t>上年度在岗职工月均工资</t>
    <phoneticPr fontId="5" type="noConversion"/>
  </si>
  <si>
    <t>当地最低工资标准</t>
    <phoneticPr fontId="5" type="noConversion"/>
  </si>
  <si>
    <t>公积金缴纳上限</t>
    <phoneticPr fontId="5" type="noConversion"/>
  </si>
  <si>
    <t>公积金缴纳下限</t>
    <phoneticPr fontId="5" type="noConversion"/>
  </si>
  <si>
    <t>五险缴纳比例（个人：0.1~0.12）</t>
    <phoneticPr fontId="5" type="noConversion"/>
  </si>
  <si>
    <t>五险缴纳比例（单位：0.24~0.27）</t>
    <phoneticPr fontId="5" type="noConversion"/>
  </si>
  <si>
    <t>五险缴纳上限</t>
    <phoneticPr fontId="5" type="noConversion"/>
  </si>
  <si>
    <t>五险缴纳下限</t>
    <phoneticPr fontId="5" type="noConversion"/>
  </si>
  <si>
    <t>应纳税额下限</t>
    <phoneticPr fontId="5" type="noConversion"/>
  </si>
  <si>
    <t>税率</t>
    <phoneticPr fontId="5" type="noConversion"/>
  </si>
  <si>
    <t>速算扣除数</t>
    <phoneticPr fontId="5" type="noConversion"/>
  </si>
  <si>
    <t>原始公积金缴纳基数（月）</t>
    <phoneticPr fontId="5" type="noConversion"/>
  </si>
  <si>
    <t>原始五险缴纳基数（月）</t>
    <phoneticPr fontId="5" type="noConversion"/>
  </si>
  <si>
    <t>应纳税额（月）</t>
    <phoneticPr fontId="5" type="noConversion"/>
  </si>
  <si>
    <t>公积金缴纳基数（月）</t>
    <phoneticPr fontId="5" type="noConversion"/>
  </si>
  <si>
    <t>五险缴纳基数（月）</t>
    <phoneticPr fontId="5" type="noConversion"/>
  </si>
  <si>
    <t>个税（月）</t>
    <phoneticPr fontId="5" type="noConversion"/>
  </si>
  <si>
    <t>个人公积金（月）</t>
    <phoneticPr fontId="5" type="noConversion"/>
  </si>
  <si>
    <t>个人五险（月）</t>
    <phoneticPr fontId="5" type="noConversion"/>
  </si>
  <si>
    <t>单位公积金（月）</t>
    <phoneticPr fontId="5" type="noConversion"/>
  </si>
  <si>
    <t>单位五险（月）</t>
    <phoneticPr fontId="5" type="noConversion"/>
  </si>
  <si>
    <t>税前工资（月）</t>
    <phoneticPr fontId="5" type="noConversion"/>
  </si>
  <si>
    <t>一年实到手所有（包括双边的五险一金）</t>
    <phoneticPr fontId="5" type="noConversion"/>
  </si>
  <si>
    <t>一年双边五险一金</t>
    <phoneticPr fontId="5" type="noConversion"/>
  </si>
  <si>
    <t>税后实到手工资（月，不包括五险一金）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</si>
</sst>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1"/>
      <scheme val="minor"/>
    </font>
    <font>
      <b/>
      <sz val="11"/>
      <color rgb="FFFA7D00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5" borderId="1" applyNumberFormat="0" applyAlignment="0" applyProtection="0">
      <alignment vertical="center"/>
    </xf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3" borderId="0" xfId="2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3" fillId="4" borderId="0" xfId="3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3" borderId="6" xfId="2" applyBorder="1" applyAlignment="1">
      <alignment horizontal="center" vertical="center"/>
    </xf>
    <xf numFmtId="0" fontId="7" fillId="5" borderId="2" xfId="4" applyFont="1" applyBorder="1" applyAlignment="1"/>
    <xf numFmtId="0" fontId="4" fillId="5" borderId="1" xfId="4" applyAlignment="1">
      <alignment horizontal="center" vertical="center"/>
    </xf>
    <xf numFmtId="0" fontId="7" fillId="5" borderId="2" xfId="4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0" xfId="1" applyAlignment="1">
      <alignment horizontal="center" vertical="center"/>
    </xf>
    <xf numFmtId="0" fontId="1" fillId="2" borderId="6" xfId="1" applyBorder="1" applyAlignment="1">
      <alignment horizontal="center" vertical="center"/>
    </xf>
    <xf numFmtId="0" fontId="2" fillId="3" borderId="0" xfId="2" applyAlignment="1">
      <alignment horizontal="center" vertical="center"/>
    </xf>
  </cellXfs>
  <cellStyles count="5">
    <cellStyle name="差" xfId="2" builtinId="27"/>
    <cellStyle name="常规" xfId="0" builtinId="0"/>
    <cellStyle name="好" xfId="1" builtinId="26"/>
    <cellStyle name="计算" xfId="4" builtinId="22"/>
    <cellStyle name="适中" xfId="3" builtinId="2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workbookViewId="0">
      <selection activeCell="M17" sqref="M17"/>
    </sheetView>
  </sheetViews>
  <sheetFormatPr defaultRowHeight="14.25" x14ac:dyDescent="0.2"/>
  <cols>
    <col min="1" max="1" width="29.125" customWidth="1"/>
    <col min="2" max="2" width="29.25" customWidth="1"/>
    <col min="3" max="3" width="28.625" customWidth="1"/>
    <col min="4" max="4" width="18.875" customWidth="1"/>
    <col min="5" max="5" width="18.5" customWidth="1"/>
    <col min="6" max="6" width="35.875" customWidth="1"/>
  </cols>
  <sheetData>
    <row r="1" spans="1:6" x14ac:dyDescent="0.2">
      <c r="A1" s="3" t="s">
        <v>2</v>
      </c>
      <c r="B1" s="8" t="s">
        <v>16</v>
      </c>
      <c r="C1" s="8" t="s">
        <v>19</v>
      </c>
      <c r="D1" s="8" t="s">
        <v>22</v>
      </c>
      <c r="E1" s="8" t="s">
        <v>24</v>
      </c>
      <c r="F1" s="8" t="s">
        <v>26</v>
      </c>
    </row>
    <row r="2" spans="1:6" x14ac:dyDescent="0.2">
      <c r="A2" s="2">
        <v>5400</v>
      </c>
      <c r="B2" s="4">
        <f>$A$2/($A$4+$A$6)</f>
        <v>22500</v>
      </c>
      <c r="C2" s="2">
        <f>IF(IF($B$2&gt;$A$12, $A$12, $B$2)&lt;$A$14,$A$14,IF($B$2&gt;$A$12, $A$12, $B$2))</f>
        <v>22500</v>
      </c>
      <c r="D2" s="2">
        <f>$C$2*$A$4</f>
        <v>2700</v>
      </c>
      <c r="E2" s="2">
        <f>$C$2*$A$6</f>
        <v>2700</v>
      </c>
      <c r="F2" s="2">
        <f>IF($A$12-$B$2 &lt; 0.1,"超出上限", $C$2)</f>
        <v>22500</v>
      </c>
    </row>
    <row r="3" spans="1:6" x14ac:dyDescent="0.2">
      <c r="A3" s="3" t="s">
        <v>3</v>
      </c>
      <c r="B3" s="8" t="s">
        <v>17</v>
      </c>
      <c r="C3" s="8" t="s">
        <v>20</v>
      </c>
      <c r="D3" s="8" t="s">
        <v>23</v>
      </c>
      <c r="E3" s="8" t="s">
        <v>25</v>
      </c>
      <c r="F3" s="8" t="s">
        <v>29</v>
      </c>
    </row>
    <row r="4" spans="1:6" x14ac:dyDescent="0.2">
      <c r="A4" s="2">
        <v>0.12</v>
      </c>
      <c r="B4" s="2">
        <f>$B$2</f>
        <v>22500</v>
      </c>
      <c r="C4" s="2">
        <f>IF(IF($B$4&gt;$A$20, $A$20, $B$4)&lt;$A$22,$A$22,IF($B$4&gt;$A$20, $A$20, $B$4))</f>
        <v>22500</v>
      </c>
      <c r="D4" s="2">
        <f>$C$4*$A$16</f>
        <v>2250</v>
      </c>
      <c r="E4" s="2">
        <f>$C$4*$A$18</f>
        <v>5625</v>
      </c>
      <c r="F4" s="2">
        <f>IF($A$12-$B$2 &lt; 0.1,"超出上限", $F$2-$D$2-$D$4-$C$6)</f>
        <v>16505</v>
      </c>
    </row>
    <row r="5" spans="1:6" x14ac:dyDescent="0.2">
      <c r="A5" s="3" t="s">
        <v>4</v>
      </c>
      <c r="B5" s="8" t="s">
        <v>18</v>
      </c>
      <c r="C5" s="8" t="s">
        <v>21</v>
      </c>
      <c r="E5" s="1"/>
    </row>
    <row r="6" spans="1:6" x14ac:dyDescent="0.2">
      <c r="A6" s="2">
        <v>0.12</v>
      </c>
      <c r="B6" s="2">
        <f>$F$2-$D$2-$D$4-$D$25</f>
        <v>12550</v>
      </c>
      <c r="C6" s="2">
        <f>$B$6*INDEX($B$25:$B$32, MATCH($B$6,$A$25:$A$32,1))-INDEX($C$25:$C$32, MATCH($B$6,$A$25:$A$32,1))</f>
        <v>1045</v>
      </c>
    </row>
    <row r="7" spans="1:6" x14ac:dyDescent="0.2">
      <c r="A7" s="3" t="s">
        <v>5</v>
      </c>
    </row>
    <row r="8" spans="1:6" x14ac:dyDescent="0.2">
      <c r="A8" s="9">
        <v>13704</v>
      </c>
      <c r="F8" s="12" t="s">
        <v>27</v>
      </c>
    </row>
    <row r="9" spans="1:6" x14ac:dyDescent="0.2">
      <c r="A9" s="3" t="s">
        <v>6</v>
      </c>
      <c r="B9" s="10"/>
      <c r="F9" s="13">
        <f>IF($A$12-$B$2 &lt; 0.1,"超出上限",SUM($D$2,$D$4,$E$2,$E$4,$F$4)*12)</f>
        <v>357360</v>
      </c>
    </row>
    <row r="10" spans="1:6" x14ac:dyDescent="0.2">
      <c r="A10" s="2">
        <v>2500</v>
      </c>
      <c r="F10" s="14" t="s">
        <v>28</v>
      </c>
    </row>
    <row r="11" spans="1:6" x14ac:dyDescent="0.2">
      <c r="A11" s="8" t="s">
        <v>7</v>
      </c>
      <c r="F11" s="14">
        <f>IF($A$12-$B$2 &lt; 0.1,"超出上限",SUM($D$2,$D$4,$E$2,$E$4)*12)</f>
        <v>159300</v>
      </c>
    </row>
    <row r="12" spans="1:6" x14ac:dyDescent="0.2">
      <c r="A12" s="2">
        <f>3*$A$8</f>
        <v>41112</v>
      </c>
    </row>
    <row r="13" spans="1:6" x14ac:dyDescent="0.2">
      <c r="A13" s="8" t="s">
        <v>8</v>
      </c>
    </row>
    <row r="14" spans="1:6" x14ac:dyDescent="0.2">
      <c r="A14" s="2">
        <f>$A$10</f>
        <v>2500</v>
      </c>
    </row>
    <row r="15" spans="1:6" x14ac:dyDescent="0.2">
      <c r="A15" s="3" t="s">
        <v>9</v>
      </c>
    </row>
    <row r="16" spans="1:6" x14ac:dyDescent="0.2">
      <c r="A16" s="2">
        <v>0.1</v>
      </c>
    </row>
    <row r="17" spans="1:4" x14ac:dyDescent="0.2">
      <c r="A17" s="3" t="s">
        <v>10</v>
      </c>
    </row>
    <row r="18" spans="1:4" x14ac:dyDescent="0.2">
      <c r="A18" s="2">
        <v>0.25</v>
      </c>
    </row>
    <row r="19" spans="1:4" x14ac:dyDescent="0.2">
      <c r="A19" s="8" t="s">
        <v>11</v>
      </c>
    </row>
    <row r="20" spans="1:4" x14ac:dyDescent="0.2">
      <c r="A20" s="2">
        <f>3*$A$8</f>
        <v>41112</v>
      </c>
    </row>
    <row r="21" spans="1:4" x14ac:dyDescent="0.2">
      <c r="A21" s="8" t="s">
        <v>12</v>
      </c>
    </row>
    <row r="22" spans="1:4" x14ac:dyDescent="0.2">
      <c r="A22" s="2">
        <f>$A$10</f>
        <v>2500</v>
      </c>
    </row>
    <row r="23" spans="1:4" x14ac:dyDescent="0.2">
      <c r="A23" s="20" t="s">
        <v>0</v>
      </c>
      <c r="B23" s="20"/>
      <c r="C23" s="20"/>
      <c r="D23" s="18" t="s">
        <v>1</v>
      </c>
    </row>
    <row r="24" spans="1:4" x14ac:dyDescent="0.2">
      <c r="A24" s="11" t="s">
        <v>13</v>
      </c>
      <c r="B24" s="11" t="s">
        <v>14</v>
      </c>
      <c r="C24" s="11" t="s">
        <v>15</v>
      </c>
      <c r="D24" s="19"/>
    </row>
    <row r="25" spans="1:4" x14ac:dyDescent="0.2">
      <c r="A25" s="6">
        <v>0</v>
      </c>
      <c r="B25" s="7">
        <v>0</v>
      </c>
      <c r="C25" s="7">
        <v>0</v>
      </c>
      <c r="D25" s="15">
        <v>5000</v>
      </c>
    </row>
    <row r="26" spans="1:4" x14ac:dyDescent="0.2">
      <c r="A26" s="6">
        <v>5000</v>
      </c>
      <c r="B26" s="7">
        <v>0.03</v>
      </c>
      <c r="C26" s="7">
        <v>0</v>
      </c>
      <c r="D26" s="16"/>
    </row>
    <row r="27" spans="1:4" x14ac:dyDescent="0.2">
      <c r="A27" s="6">
        <v>8000</v>
      </c>
      <c r="B27" s="7">
        <v>0.1</v>
      </c>
      <c r="C27" s="7">
        <v>210</v>
      </c>
      <c r="D27" s="16"/>
    </row>
    <row r="28" spans="1:4" x14ac:dyDescent="0.2">
      <c r="A28" s="6">
        <v>17000</v>
      </c>
      <c r="B28" s="7">
        <v>0.2</v>
      </c>
      <c r="C28" s="7">
        <v>1410</v>
      </c>
      <c r="D28" s="16"/>
    </row>
    <row r="29" spans="1:4" x14ac:dyDescent="0.2">
      <c r="A29" s="6">
        <v>30000</v>
      </c>
      <c r="B29" s="7">
        <v>0.25</v>
      </c>
      <c r="C29" s="7">
        <v>2660</v>
      </c>
      <c r="D29" s="16"/>
    </row>
    <row r="30" spans="1:4" x14ac:dyDescent="0.2">
      <c r="A30" s="6">
        <v>40000</v>
      </c>
      <c r="B30" s="7">
        <v>0.3</v>
      </c>
      <c r="C30" s="7">
        <v>4410</v>
      </c>
      <c r="D30" s="16"/>
    </row>
    <row r="31" spans="1:4" x14ac:dyDescent="0.2">
      <c r="A31" s="6">
        <v>60000</v>
      </c>
      <c r="B31" s="7">
        <v>0.35</v>
      </c>
      <c r="C31" s="7">
        <v>7160</v>
      </c>
      <c r="D31" s="16"/>
    </row>
    <row r="32" spans="1:4" x14ac:dyDescent="0.2">
      <c r="A32" s="6">
        <v>85000</v>
      </c>
      <c r="B32" s="7">
        <v>0.45</v>
      </c>
      <c r="C32" s="7">
        <v>15160</v>
      </c>
      <c r="D32" s="17"/>
    </row>
    <row r="51" spans="1:4" x14ac:dyDescent="0.2">
      <c r="A51" s="20" t="s">
        <v>0</v>
      </c>
      <c r="B51" s="20"/>
      <c r="C51" s="20"/>
      <c r="D51" s="5" t="s">
        <v>1</v>
      </c>
    </row>
    <row r="52" spans="1:4" x14ac:dyDescent="0.2">
      <c r="A52" s="6">
        <v>0</v>
      </c>
      <c r="B52" s="7">
        <v>0</v>
      </c>
      <c r="C52" s="7">
        <v>0</v>
      </c>
      <c r="D52" s="15">
        <v>5000</v>
      </c>
    </row>
    <row r="53" spans="1:4" x14ac:dyDescent="0.2">
      <c r="A53" s="6">
        <v>5000</v>
      </c>
      <c r="B53" s="7">
        <v>0.03</v>
      </c>
      <c r="C53" s="7">
        <v>0</v>
      </c>
      <c r="D53" s="16"/>
    </row>
    <row r="54" spans="1:4" x14ac:dyDescent="0.2">
      <c r="A54" s="6">
        <v>8000</v>
      </c>
      <c r="B54" s="7">
        <v>0.1</v>
      </c>
      <c r="C54" s="7">
        <v>210</v>
      </c>
      <c r="D54" s="16"/>
    </row>
    <row r="55" spans="1:4" x14ac:dyDescent="0.2">
      <c r="A55" s="6">
        <v>17000</v>
      </c>
      <c r="B55" s="7">
        <v>0.2</v>
      </c>
      <c r="C55" s="7">
        <v>1410</v>
      </c>
      <c r="D55" s="16"/>
    </row>
    <row r="56" spans="1:4" x14ac:dyDescent="0.2">
      <c r="A56" s="6">
        <v>30000</v>
      </c>
      <c r="B56" s="7">
        <v>0.25</v>
      </c>
      <c r="C56" s="7">
        <v>2660</v>
      </c>
      <c r="D56" s="16"/>
    </row>
    <row r="57" spans="1:4" x14ac:dyDescent="0.2">
      <c r="A57" s="6">
        <v>40000</v>
      </c>
      <c r="B57" s="7">
        <v>0.3</v>
      </c>
      <c r="C57" s="7">
        <v>4410</v>
      </c>
      <c r="D57" s="16"/>
    </row>
    <row r="58" spans="1:4" x14ac:dyDescent="0.2">
      <c r="A58" s="6">
        <v>60000</v>
      </c>
      <c r="B58" s="7">
        <v>0.35</v>
      </c>
      <c r="C58" s="7">
        <v>7160</v>
      </c>
      <c r="D58" s="16"/>
    </row>
    <row r="59" spans="1:4" x14ac:dyDescent="0.2">
      <c r="A59" s="6">
        <v>85000</v>
      </c>
      <c r="B59" s="7">
        <v>0.45</v>
      </c>
      <c r="C59" s="7">
        <v>15160</v>
      </c>
      <c r="D59" s="17"/>
    </row>
  </sheetData>
  <mergeCells count="5">
    <mergeCell ref="D25:D32"/>
    <mergeCell ref="D23:D24"/>
    <mergeCell ref="A23:C23"/>
    <mergeCell ref="A51:C51"/>
    <mergeCell ref="D52:D59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金酱</dc:creator>
  <cp:lastModifiedBy>酱 金</cp:lastModifiedBy>
  <dcterms:created xsi:type="dcterms:W3CDTF">2015-06-05T18:19:34Z</dcterms:created>
  <dcterms:modified xsi:type="dcterms:W3CDTF">2025-12-23T07:03:43Z</dcterms:modified>
</cp:coreProperties>
</file>