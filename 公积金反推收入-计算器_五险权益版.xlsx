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XGU\Desktop\"/>
    </mc:Choice>
  </mc:AlternateContent>
  <xr:revisionPtr revIDLastSave="0" documentId="8_{1427AE47-5284-4A04-BC91-2A061108F8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计算器" sheetId="1" r:id="rId1"/>
    <sheet name="参数说明" sheetId="2" r:id="rId2"/>
    <sheet name="五险权益" sheetId="3" r:id="rId3"/>
  </sheets>
  <calcPr calcId="191029"/>
  <fileRecoveryPr repairLoad="1"/>
</workbook>
</file>

<file path=xl/calcChain.xml><?xml version="1.0" encoding="utf-8"?>
<calcChain xmlns="http://schemas.openxmlformats.org/spreadsheetml/2006/main">
  <c r="D11" i="3" l="1"/>
  <c r="C11" i="3"/>
  <c r="B11" i="3"/>
  <c r="B9" i="1" s="1"/>
  <c r="L4" i="3"/>
  <c r="F31" i="1"/>
  <c r="B10" i="1"/>
  <c r="F7" i="1"/>
  <c r="F4" i="1"/>
  <c r="F6" i="1" s="1"/>
  <c r="B22" i="1" l="1"/>
  <c r="B23" i="1"/>
  <c r="F8" i="1"/>
  <c r="F5" i="1"/>
  <c r="B21" i="1" l="1"/>
  <c r="F9" i="1"/>
  <c r="L3" i="3" s="1"/>
  <c r="F23" i="1"/>
  <c r="F9" i="3" l="1"/>
  <c r="F7" i="3"/>
  <c r="E9" i="3"/>
  <c r="G9" i="3"/>
  <c r="E7" i="3"/>
  <c r="G10" i="3"/>
  <c r="F10" i="3"/>
  <c r="G8" i="3"/>
  <c r="G6" i="3"/>
  <c r="G11" i="3" s="1"/>
  <c r="G7" i="3"/>
  <c r="E10" i="3"/>
  <c r="F8" i="3"/>
  <c r="F6" i="3"/>
  <c r="E8" i="3"/>
  <c r="E6" i="3"/>
  <c r="F21" i="1"/>
  <c r="L11" i="3" l="1"/>
  <c r="L13" i="3"/>
  <c r="F11" i="3"/>
  <c r="L10" i="3" s="1"/>
  <c r="H7" i="3"/>
  <c r="H6" i="3"/>
  <c r="E11" i="3"/>
  <c r="L9" i="3" s="1"/>
  <c r="H8" i="3"/>
  <c r="H10" i="3"/>
  <c r="H9" i="3"/>
  <c r="L17" i="3" l="1"/>
  <c r="B24" i="1"/>
  <c r="B25" i="1"/>
  <c r="L18" i="3"/>
  <c r="H11" i="3"/>
  <c r="B26" i="1"/>
  <c r="F24" i="1" s="1"/>
  <c r="L19" i="3"/>
  <c r="L12" i="3" l="1"/>
  <c r="L14" i="3"/>
  <c r="L21" i="3" s="1"/>
  <c r="F27" i="1"/>
  <c r="B35" i="1"/>
  <c r="F30" i="1" s="1"/>
  <c r="F26" i="1"/>
  <c r="F29" i="1"/>
  <c r="B28" i="1"/>
  <c r="B29" i="1" s="1"/>
  <c r="B30" i="1" s="1"/>
  <c r="B31" i="1" l="1"/>
  <c r="B32" i="1" s="1"/>
  <c r="F32" i="1"/>
  <c r="L20" i="3"/>
  <c r="B27" i="1"/>
  <c r="F28" i="1" s="1"/>
  <c r="B33" i="1" l="1"/>
  <c r="B34" i="1" s="1"/>
  <c r="F25" i="1" s="1"/>
  <c r="F22" i="1"/>
</calcChain>
</file>

<file path=xl/sharedStrings.xml><?xml version="1.0" encoding="utf-8"?>
<sst xmlns="http://schemas.openxmlformats.org/spreadsheetml/2006/main" count="211" uniqueCount="171">
  <si>
    <t>公积金反推收入、五险权益与用工成本计算器</t>
  </si>
  <si>
    <t>输入参数（蓝字可修改）</t>
  </si>
  <si>
    <t>反推结果与适用状态</t>
  </si>
  <si>
    <t>双边公积金实缴额</t>
  </si>
  <si>
    <t>元/月</t>
  </si>
  <si>
    <t>原始反推公积金基数</t>
  </si>
  <si>
    <t>个人公积金缴存比例</t>
  </si>
  <si>
    <t>比例</t>
  </si>
  <si>
    <t>反推状态</t>
  </si>
  <si>
    <t>单位公积金缴存比例</t>
  </si>
  <si>
    <t>公积金缴存基数</t>
  </si>
  <si>
    <t>公积金基数下限</t>
  </si>
  <si>
    <t>元/月；按缴存年度更新</t>
  </si>
  <si>
    <t>估算来源</t>
  </si>
  <si>
    <t>公积金基数上限</t>
  </si>
  <si>
    <t>用于估算的月工资</t>
  </si>
  <si>
    <t>个人五险合计比例（自动汇总）</t>
  </si>
  <si>
    <t>在“五险权益”工作表修改分项比例</t>
  </si>
  <si>
    <t>社保缴费基数（综合估算）</t>
  </si>
  <si>
    <t>单位五险合计比例（自动汇总）</t>
  </si>
  <si>
    <t>口径提示</t>
  </si>
  <si>
    <t>公积金反推值通常对应缴存基数；达到上下限时只能得到边界，不能精确确定实际工资。</t>
  </si>
  <si>
    <t>社保基数下限（独立输入）</t>
  </si>
  <si>
    <t>不得直接引用公积金下限</t>
  </si>
  <si>
    <t>社保基数上限（独立输入）</t>
  </si>
  <si>
    <t>不得直接引用公积金上限</t>
  </si>
  <si>
    <t>专项附加扣除</t>
  </si>
  <si>
    <t>其他税前扣除</t>
  </si>
  <si>
    <t>其他单位福利成本</t>
  </si>
  <si>
    <t>元/月；食堂、企业年金等</t>
  </si>
  <si>
    <t>计算月数</t>
  </si>
  <si>
    <t>月</t>
  </si>
  <si>
    <t>当前月税前工资（可选）</t>
  </si>
  <si>
    <t>0 表示使用公积金反推值</t>
  </si>
  <si>
    <t>月度结果</t>
  </si>
  <si>
    <t>年度结果（现金、账户权益、风险保障分开展示）</t>
  </si>
  <si>
    <t>税前月工资（估算口径）</t>
  </si>
  <si>
    <t>年度税前现金工资</t>
  </si>
  <si>
    <t>元/年</t>
  </si>
  <si>
    <t>个人公积金</t>
  </si>
  <si>
    <t>元/月；进入个人公积金账户</t>
  </si>
  <si>
    <t>年度现金到手</t>
  </si>
  <si>
    <t>元/年；现金口径</t>
  </si>
  <si>
    <t>单位公积金</t>
  </si>
  <si>
    <t>年度公积金账户新增</t>
  </si>
  <si>
    <t>元/年；个人公积金账户</t>
  </si>
  <si>
    <t>个人五险缴费</t>
  </si>
  <si>
    <t>元/月；从工资中扣缴</t>
  </si>
  <si>
    <t>年度个人社保账户增加</t>
  </si>
  <si>
    <t>元/年；养老、医保个人账户</t>
  </si>
  <si>
    <t>单位五险缴费</t>
  </si>
  <si>
    <t>元/月；单位承担</t>
  </si>
  <si>
    <t>年度个人可量化综合权益</t>
  </si>
  <si>
    <t>元/年；现金＋公积金＋个人社保账户</t>
  </si>
  <si>
    <t>个人社保账户权益增加</t>
  </si>
  <si>
    <t>元/月；养老、医保个人账户实际划入</t>
  </si>
  <si>
    <t>年度个人五险缴费</t>
  </si>
  <si>
    <t>元/年；缴费额</t>
  </si>
  <si>
    <t>统筹及风险保障投入</t>
  </si>
  <si>
    <t>元/月；统筹与风险保障，不等同个人资产</t>
  </si>
  <si>
    <t>年度单位五险缴费</t>
  </si>
  <si>
    <t>元/年；单位成本</t>
  </si>
  <si>
    <t>月应纳税所得额（年均口径）</t>
  </si>
  <si>
    <t>年度统筹及风险保障投入</t>
  </si>
  <si>
    <t>元/年；不作为个人资产</t>
  </si>
  <si>
    <t>预计全年应纳税所得额</t>
  </si>
  <si>
    <t>年度五险一金缴费总额</t>
  </si>
  <si>
    <t>元/年；仅表示缴费总额</t>
  </si>
  <si>
    <t>预计全年个税</t>
  </si>
  <si>
    <t>年度单位用工成本</t>
  </si>
  <si>
    <t>元/年；单位成本口径</t>
  </si>
  <si>
    <t>预计月均个税</t>
  </si>
  <si>
    <t>元/月；全年平均值</t>
  </si>
  <si>
    <t>年度其他单位福利成本</t>
  </si>
  <si>
    <t>月现金到手</t>
  </si>
  <si>
    <t>元/月；可支配现金</t>
  </si>
  <si>
    <t>年度个人所得税</t>
  </si>
  <si>
    <t>月现金及公积金权益</t>
  </si>
  <si>
    <t>元/月；现金＋双边公积金</t>
  </si>
  <si>
    <t>月个人可量化综合权益</t>
  </si>
  <si>
    <t>元/月；现金＋双边公积金＋个人社保账户</t>
  </si>
  <si>
    <t>单位月用工成本</t>
  </si>
  <si>
    <t>元/月；不扣个人所得税</t>
  </si>
  <si>
    <t>口径说明</t>
  </si>
  <si>
    <t>1</t>
  </si>
  <si>
    <t>“个人可量化综合权益”采用保守口径：现金到手＋双边公积金＋养老和医保个人账户实际增加额。</t>
  </si>
  <si>
    <t>2</t>
  </si>
  <si>
    <t>统筹基金以及失业、工伤、生育风险保障具有真实保障价值，但不能按缴费原额直接认定为个人收入或个人资产。</t>
  </si>
  <si>
    <t>3</t>
  </si>
  <si>
    <t>五险分项比例和个人账户划入率均在“五险权益”工作表维护；默认值只是保持原合计比例的结构示例。</t>
  </si>
  <si>
    <t>4</t>
  </si>
  <si>
    <t>“年度统筹及风险保障投入”单独披露，用于体现保障投入，但不加入个人可量化综合权益。</t>
  </si>
  <si>
    <t>5</t>
  </si>
  <si>
    <t>“情景折算五险权益”只用于敏感性分析，主结果始终采用保守口径，避免任意系数造成虚假精确。</t>
  </si>
  <si>
    <t>参数、税率表与来源</t>
  </si>
  <si>
    <t>参数名称</t>
  </si>
  <si>
    <t>数值</t>
  </si>
  <si>
    <t>单位</t>
  </si>
  <si>
    <t>说明</t>
  </si>
  <si>
    <t>来源</t>
  </si>
  <si>
    <t>基本减除费用（月）</t>
  </si>
  <si>
    <t>用于居民个人综合所得年度估算</t>
  </si>
  <si>
    <t>https://guangdong.chinatax.gov.cn/gdsw/fssw_nsrxt_kjxz/2025-10/09/content_b02be06c906e46bca00673beb9e7783a.shtml</t>
  </si>
  <si>
    <t>综合所得个人所得税年度税率表</t>
  </si>
  <si>
    <t>全年应纳税所得额下限</t>
  </si>
  <si>
    <t>税率</t>
  </si>
  <si>
    <t>速算扣除数</t>
  </si>
  <si>
    <t>适用区间</t>
  </si>
  <si>
    <t>不超过 36,000 元</t>
  </si>
  <si>
    <t>超过 36,000 元至 144,000 元</t>
  </si>
  <si>
    <t>同上</t>
  </si>
  <si>
    <t>超过 144,000 元至 300,000 元</t>
  </si>
  <si>
    <t>超过 300,000 元至 420,000 元</t>
  </si>
  <si>
    <t>超过 420,000 元至 660,000 元</t>
  </si>
  <si>
    <t>超过 660,000 元至 960,000 元</t>
  </si>
  <si>
    <t>超过 960,000 元</t>
  </si>
  <si>
    <t>维护提示</t>
  </si>
  <si>
    <t>公积金与社保基数上下限、缴费比例具有地区和年度差异，请在“计算器”输入区按实际政策更新。</t>
  </si>
  <si>
    <t>五险权益模块说明</t>
  </si>
  <si>
    <t>默认比例性质</t>
  </si>
  <si>
    <t>五险分项默认值用于保持原个人10%、单位25%的合计比例，不代表特定地区的最新法定费率。</t>
  </si>
  <si>
    <t>个人账户口径</t>
  </si>
  <si>
    <t>只有实际划入个人名下养老、医保账户的金额进入保守口径综合权益。</t>
  </si>
  <si>
    <t>统筹风险口径</t>
  </si>
  <si>
    <t>养老、医保统筹以及失业、工伤、生育投入单独披露，不直接加到个人收入。</t>
  </si>
  <si>
    <t>五险缴费拆分与权益折算</t>
  </si>
  <si>
    <t>参数与汇总</t>
  </si>
  <si>
    <t>蓝字为可修改参数。默认采用保守口径：只有养老、医疗个人账户的实际划入额计入“可量化五险权益”；统筹与风险保障不计入个人资产。</t>
  </si>
  <si>
    <t>社保缴费基数</t>
  </si>
  <si>
    <t>元/月；来自计算器</t>
  </si>
  <si>
    <t>月；来自计算器</t>
  </si>
  <si>
    <t>险种</t>
  </si>
  <si>
    <t>个人缴费率</t>
  </si>
  <si>
    <t>单位缴费率</t>
  </si>
  <si>
    <t>个人账户划入率</t>
  </si>
  <si>
    <t>个人月缴费</t>
  </si>
  <si>
    <t>单位月缴费</t>
  </si>
  <si>
    <t>个人账户月增加</t>
  </si>
  <si>
    <t>统筹/风险保障月投入</t>
  </si>
  <si>
    <t>权益处理</t>
  </si>
  <si>
    <t>个人账户现值系数</t>
  </si>
  <si>
    <t>情景参数；主结果按名义额100%</t>
  </si>
  <si>
    <t>养老保险</t>
  </si>
  <si>
    <t>个人账户划入额可量化；统筹部分不按缴费额计入个人资产</t>
  </si>
  <si>
    <t>统筹/风险折算系数</t>
  </si>
  <si>
    <t>情景参数；默认0%，不进入主结果</t>
  </si>
  <si>
    <t>医疗保险</t>
  </si>
  <si>
    <t>个人账户实际划入额可量化；统筹部分作为医疗保障</t>
  </si>
  <si>
    <t>失业保险</t>
  </si>
  <si>
    <t>风险保险；满足失业待遇条件时产生给付</t>
  </si>
  <si>
    <t>月度汇总</t>
  </si>
  <si>
    <t>工伤保险</t>
  </si>
  <si>
    <t>风险保险；发生并认定工伤时产生给付</t>
  </si>
  <si>
    <t>生育保险</t>
  </si>
  <si>
    <t>风险保险；满足生育待遇条件时产生给付</t>
  </si>
  <si>
    <t>合计</t>
  </si>
  <si>
    <t>个人社保账户增加</t>
  </si>
  <si>
    <t>元/月；可明确归属个人账户</t>
  </si>
  <si>
    <t>元/月；不等同于个人资产</t>
  </si>
  <si>
    <t>保守口径五险权益</t>
  </si>
  <si>
    <t>元/月；主结果采用</t>
  </si>
  <si>
    <t>使用说明</t>
  </si>
  <si>
    <t>情景折算五险权益</t>
  </si>
  <si>
    <t>元/月；仅供情景分析</t>
  </si>
  <si>
    <t>默认比例只是结构示例，并用于保持原计算器个人10%、单位25%的合计比例。请按所在地、单位和年度政策修改。</t>
  </si>
  <si>
    <t>“个人账户划入率”应填写实际进入个人名下账户的比例，不一定等于个人缴费率。</t>
  </si>
  <si>
    <t>年度汇总</t>
  </si>
  <si>
    <t>保守口径只认可个人账户增加额；单位养老、医保统筹及失业、工伤、生育投入不直接折算为个人收入。</t>
  </si>
  <si>
    <t>情景折算允许对个人账户和统筹风险投入设置系数，但主计算器不会采用统筹/风险折算结果。</t>
  </si>
  <si>
    <t>精确养老金现值需要年龄、退休年龄、缴费年限、养老金计发基数等精算参数，本表未将其伪装成确定金额。</t>
  </si>
  <si>
    <t>年度情景折算五险权益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</si>
</sst>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\-"/>
    <numFmt numFmtId="177" formatCode="0.00%;[Red]\(0.00%\);\-"/>
  </numFmts>
  <fonts count="17" x14ac:knownFonts="1">
    <font>
      <sz val="11"/>
      <color theme="1"/>
      <name val="等线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5700"/>
      <name val="等线"/>
      <charset val="134"/>
    </font>
    <font>
      <b/>
      <sz val="11"/>
      <color rgb="FFFA7D00"/>
      <name val="等线"/>
      <charset val="134"/>
    </font>
    <font>
      <b/>
      <sz val="16"/>
      <color rgb="FFFFFFFF"/>
      <name val="等线"/>
      <charset val="134"/>
    </font>
    <font>
      <b/>
      <sz val="11"/>
      <color rgb="FF1F1F1F"/>
      <name val="等线"/>
      <charset val="134"/>
    </font>
    <font>
      <sz val="11"/>
      <color rgb="FF1F1F1F"/>
      <name val="等线"/>
      <charset val="134"/>
    </font>
    <font>
      <sz val="11"/>
      <color rgb="FF0000FF"/>
      <name val="等线"/>
      <charset val="134"/>
    </font>
    <font>
      <i/>
      <sz val="9"/>
      <color rgb="FF666666"/>
      <name val="等线"/>
      <charset val="134"/>
    </font>
    <font>
      <sz val="11"/>
      <color rgb="FF000000"/>
      <name val="等线"/>
      <charset val="134"/>
    </font>
    <font>
      <sz val="11"/>
      <color rgb="FF008000"/>
      <name val="等线"/>
      <charset val="134"/>
    </font>
    <font>
      <sz val="9"/>
      <color rgb="FF008000"/>
      <name val="等线"/>
      <charset val="134"/>
    </font>
    <font>
      <b/>
      <sz val="9"/>
      <color rgb="FF1F1F1F"/>
      <name val="等线"/>
      <charset val="134"/>
    </font>
    <font>
      <b/>
      <i/>
      <sz val="9"/>
      <color rgb="FF1F1F1F"/>
      <name val="等线"/>
      <charset val="134"/>
    </font>
    <font>
      <b/>
      <sz val="11"/>
      <color rgb="FFFFFFFF"/>
      <name val="等线"/>
      <charset val="134"/>
    </font>
    <font>
      <sz val="9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</cellStyleXfs>
  <cellXfs count="92">
    <xf numFmtId="0" fontId="0" fillId="0" borderId="0" xfId="0"/>
    <xf numFmtId="0" fontId="6" fillId="7" borderId="2" xfId="0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right" vertical="center"/>
    </xf>
    <xf numFmtId="176" fontId="8" fillId="9" borderId="0" xfId="0" applyNumberFormat="1" applyFont="1" applyFill="1" applyAlignment="1">
      <alignment horizontal="right" vertical="center"/>
    </xf>
    <xf numFmtId="177" fontId="8" fillId="9" borderId="0" xfId="0" applyNumberFormat="1" applyFont="1" applyFill="1" applyAlignment="1">
      <alignment horizontal="right" vertical="center"/>
    </xf>
    <xf numFmtId="1" fontId="8" fillId="9" borderId="0" xfId="0" applyNumberFormat="1" applyFont="1" applyFill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176" fontId="8" fillId="9" borderId="4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vertical="center" wrapText="1"/>
    </xf>
    <xf numFmtId="176" fontId="8" fillId="9" borderId="9" xfId="0" applyNumberFormat="1" applyFont="1" applyFill="1" applyBorder="1" applyAlignment="1">
      <alignment horizontal="right" vertical="center"/>
    </xf>
    <xf numFmtId="0" fontId="9" fillId="0" borderId="10" xfId="0" applyFont="1" applyBorder="1" applyAlignment="1">
      <alignment vertical="center" wrapText="1"/>
    </xf>
    <xf numFmtId="176" fontId="10" fillId="0" borderId="4" xfId="0" applyNumberFormat="1" applyFont="1" applyBorder="1" applyAlignment="1">
      <alignment horizontal="right" vertical="center"/>
    </xf>
    <xf numFmtId="0" fontId="7" fillId="8" borderId="6" xfId="0" applyFont="1" applyFill="1" applyBorder="1" applyAlignment="1">
      <alignment vertical="center"/>
    </xf>
    <xf numFmtId="0" fontId="7" fillId="8" borderId="8" xfId="0" applyFont="1" applyFill="1" applyBorder="1" applyAlignment="1">
      <alignment vertical="center"/>
    </xf>
    <xf numFmtId="0" fontId="9" fillId="0" borderId="5" xfId="0" applyFont="1" applyBorder="1" applyAlignment="1">
      <alignment vertical="center" wrapText="1"/>
    </xf>
    <xf numFmtId="0" fontId="7" fillId="8" borderId="3" xfId="0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176" fontId="8" fillId="9" borderId="12" xfId="0" applyNumberFormat="1" applyFont="1" applyFill="1" applyBorder="1"/>
    <xf numFmtId="176" fontId="0" fillId="0" borderId="3" xfId="0" applyNumberFormat="1" applyBorder="1"/>
    <xf numFmtId="176" fontId="0" fillId="0" borderId="6" xfId="0" applyNumberFormat="1" applyBorder="1"/>
    <xf numFmtId="176" fontId="0" fillId="0" borderId="8" xfId="0" applyNumberFormat="1" applyBorder="1"/>
    <xf numFmtId="177" fontId="0" fillId="0" borderId="4" xfId="0" applyNumberFormat="1" applyBorder="1"/>
    <xf numFmtId="177" fontId="0" fillId="0" borderId="0" xfId="0" applyNumberFormat="1"/>
    <xf numFmtId="177" fontId="0" fillId="0" borderId="9" xfId="0" applyNumberFormat="1" applyBorder="1"/>
    <xf numFmtId="176" fontId="0" fillId="0" borderId="4" xfId="0" applyNumberFormat="1" applyBorder="1"/>
    <xf numFmtId="176" fontId="0" fillId="0" borderId="0" xfId="0" applyNumberFormat="1"/>
    <xf numFmtId="176" fontId="0" fillId="0" borderId="9" xfId="0" applyNumberFormat="1" applyBorder="1"/>
    <xf numFmtId="0" fontId="0" fillId="0" borderId="12" xfId="0" applyBorder="1" applyAlignment="1">
      <alignment wrapText="1"/>
    </xf>
    <xf numFmtId="0" fontId="12" fillId="0" borderId="13" xfId="0" applyFont="1" applyBorder="1" applyAlignment="1">
      <alignment wrapText="1"/>
    </xf>
    <xf numFmtId="0" fontId="0" fillId="0" borderId="4" xfId="0" applyBorder="1" applyAlignment="1">
      <alignment wrapText="1"/>
    </xf>
    <xf numFmtId="0" fontId="12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7" xfId="0" applyFont="1" applyBorder="1" applyAlignment="1">
      <alignment wrapText="1"/>
    </xf>
    <xf numFmtId="0" fontId="0" fillId="0" borderId="9" xfId="0" applyBorder="1" applyAlignment="1">
      <alignment wrapText="1"/>
    </xf>
    <xf numFmtId="0" fontId="12" fillId="0" borderId="10" xfId="0" applyFont="1" applyBorder="1" applyAlignment="1">
      <alignment wrapText="1"/>
    </xf>
    <xf numFmtId="176" fontId="6" fillId="10" borderId="3" xfId="0" applyNumberFormat="1" applyFont="1" applyFill="1" applyBorder="1" applyAlignment="1">
      <alignment horizontal="center" vertical="center"/>
    </xf>
    <xf numFmtId="177" fontId="6" fillId="10" borderId="4" xfId="0" applyNumberFormat="1" applyFont="1" applyFill="1" applyBorder="1" applyAlignment="1">
      <alignment horizontal="center" vertical="center"/>
    </xf>
    <xf numFmtId="176" fontId="6" fillId="10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176" fontId="11" fillId="0" borderId="0" xfId="0" applyNumberFormat="1" applyFont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7" fillId="12" borderId="6" xfId="0" applyFont="1" applyFill="1" applyBorder="1" applyAlignment="1">
      <alignment vertical="center"/>
    </xf>
    <xf numFmtId="177" fontId="11" fillId="13" borderId="0" xfId="0" applyNumberFormat="1" applyFont="1" applyFill="1" applyAlignment="1">
      <alignment horizontal="right" vertical="center"/>
    </xf>
    <xf numFmtId="0" fontId="7" fillId="12" borderId="15" xfId="0" applyFont="1" applyFill="1" applyBorder="1" applyAlignment="1">
      <alignment vertical="center"/>
    </xf>
    <xf numFmtId="0" fontId="9" fillId="0" borderId="17" xfId="0" applyFont="1" applyBorder="1" applyAlignment="1">
      <alignment vertical="center" wrapText="1"/>
    </xf>
    <xf numFmtId="0" fontId="7" fillId="12" borderId="18" xfId="0" applyFont="1" applyFill="1" applyBorder="1" applyAlignment="1">
      <alignment vertical="center"/>
    </xf>
    <xf numFmtId="0" fontId="9" fillId="0" borderId="19" xfId="0" applyFont="1" applyBorder="1" applyAlignment="1">
      <alignment vertical="center" wrapText="1"/>
    </xf>
    <xf numFmtId="0" fontId="7" fillId="12" borderId="20" xfId="0" applyFont="1" applyFill="1" applyBorder="1" applyAlignment="1">
      <alignment vertical="center"/>
    </xf>
    <xf numFmtId="0" fontId="9" fillId="0" borderId="22" xfId="0" applyFont="1" applyBorder="1" applyAlignment="1">
      <alignment vertical="center" wrapText="1"/>
    </xf>
    <xf numFmtId="0" fontId="6" fillId="13" borderId="15" xfId="0" applyFont="1" applyFill="1" applyBorder="1" applyAlignment="1">
      <alignment vertical="center"/>
    </xf>
    <xf numFmtId="0" fontId="9" fillId="0" borderId="16" xfId="0" applyFont="1" applyBorder="1" applyAlignment="1">
      <alignment vertical="center" wrapText="1"/>
    </xf>
    <xf numFmtId="0" fontId="6" fillId="13" borderId="18" xfId="0" applyFont="1" applyFill="1" applyBorder="1" applyAlignment="1">
      <alignment vertical="center"/>
    </xf>
    <xf numFmtId="0" fontId="6" fillId="13" borderId="20" xfId="0" applyFont="1" applyFill="1" applyBorder="1" applyAlignment="1">
      <alignment vertical="center"/>
    </xf>
    <xf numFmtId="0" fontId="9" fillId="0" borderId="21" xfId="0" applyFont="1" applyBorder="1" applyAlignment="1">
      <alignment vertical="center" wrapText="1"/>
    </xf>
    <xf numFmtId="176" fontId="10" fillId="0" borderId="16" xfId="0" applyNumberFormat="1" applyFont="1" applyBorder="1" applyAlignment="1">
      <alignment horizontal="right" vertical="center"/>
    </xf>
    <xf numFmtId="176" fontId="10" fillId="0" borderId="21" xfId="0" applyNumberFormat="1" applyFont="1" applyBorder="1" applyAlignment="1">
      <alignment horizontal="right" vertical="center"/>
    </xf>
    <xf numFmtId="176" fontId="6" fillId="13" borderId="0" xfId="0" applyNumberFormat="1" applyFont="1" applyFill="1" applyAlignment="1">
      <alignment horizontal="right" vertical="center"/>
    </xf>
    <xf numFmtId="0" fontId="14" fillId="13" borderId="19" xfId="0" applyFont="1" applyFill="1" applyBorder="1" applyAlignment="1">
      <alignment vertical="center" wrapText="1"/>
    </xf>
    <xf numFmtId="0" fontId="15" fillId="15" borderId="15" xfId="0" applyFont="1" applyFill="1" applyBorder="1" applyAlignment="1">
      <alignment horizontal="center" vertical="center" wrapText="1"/>
    </xf>
    <xf numFmtId="0" fontId="15" fillId="15" borderId="16" xfId="0" applyFont="1" applyFill="1" applyBorder="1" applyAlignment="1">
      <alignment horizontal="center" vertical="center" wrapText="1"/>
    </xf>
    <xf numFmtId="0" fontId="15" fillId="15" borderId="17" xfId="0" applyFont="1" applyFill="1" applyBorder="1" applyAlignment="1">
      <alignment horizontal="center" vertical="center" wrapText="1"/>
    </xf>
    <xf numFmtId="0" fontId="6" fillId="13" borderId="22" xfId="0" applyFont="1" applyFill="1" applyBorder="1" applyAlignment="1">
      <alignment vertical="center"/>
    </xf>
    <xf numFmtId="177" fontId="8" fillId="16" borderId="0" xfId="0" applyNumberFormat="1" applyFont="1" applyFill="1" applyAlignment="1">
      <alignment horizontal="right" vertical="center"/>
    </xf>
    <xf numFmtId="177" fontId="6" fillId="13" borderId="21" xfId="0" applyNumberFormat="1" applyFont="1" applyFill="1" applyBorder="1" applyAlignment="1">
      <alignment vertical="center"/>
    </xf>
    <xf numFmtId="176" fontId="6" fillId="13" borderId="21" xfId="0" applyNumberFormat="1" applyFont="1" applyFill="1" applyBorder="1" applyAlignment="1">
      <alignment vertical="center"/>
    </xf>
    <xf numFmtId="176" fontId="11" fillId="0" borderId="16" xfId="0" applyNumberFormat="1" applyFont="1" applyBorder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177" fontId="8" fillId="16" borderId="21" xfId="0" applyNumberFormat="1" applyFont="1" applyFill="1" applyBorder="1" applyAlignment="1">
      <alignment horizontal="right" vertical="center"/>
    </xf>
    <xf numFmtId="0" fontId="9" fillId="0" borderId="15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5" fillId="6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6" fillId="11" borderId="14" xfId="0" applyFont="1" applyFill="1" applyBorder="1" applyAlignment="1">
      <alignment horizontal="left" vertical="center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5" fillId="14" borderId="0" xfId="0" applyFont="1" applyFill="1" applyAlignment="1">
      <alignment horizontal="center" vertical="center"/>
    </xf>
    <xf numFmtId="176" fontId="6" fillId="11" borderId="14" xfId="0" applyNumberFormat="1" applyFont="1" applyFill="1" applyBorder="1" applyAlignment="1">
      <alignment horizontal="left" vertical="center"/>
    </xf>
  </cellXfs>
  <cellStyles count="5">
    <cellStyle name="差" xfId="2" xr:uid="{00000000-0005-0000-0000-000000000000}"/>
    <cellStyle name="常规" xfId="0" builtinId="0"/>
    <cellStyle name="好" xfId="1" xr:uid="{00000000-0005-0000-0000-000002000000}"/>
    <cellStyle name="计算" xfId="4" xr:uid="{00000000-0005-0000-0000-000003000000}"/>
    <cellStyle name="适中" xfId="3" xr:uid="{00000000-0005-0000-0000-000004000000}"/>
  </cellStyles>
  <dxfs count="8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sqref="A1:H1"/>
    </sheetView>
  </sheetViews>
  <sheetFormatPr defaultRowHeight="14.25" x14ac:dyDescent="0.2"/>
  <cols>
    <col min="1" max="1" width="29" customWidth="1"/>
    <col min="2" max="2" width="16" customWidth="1"/>
    <col min="3" max="3" width="35" customWidth="1"/>
    <col min="4" max="4" width="3" customWidth="1"/>
    <col min="5" max="5" width="29" customWidth="1"/>
    <col min="6" max="6" width="18" customWidth="1"/>
    <col min="7" max="7" width="32" customWidth="1"/>
    <col min="8" max="8" width="10" customWidth="1"/>
  </cols>
  <sheetData>
    <row r="1" spans="1:8" ht="30" customHeight="1" x14ac:dyDescent="0.2">
      <c r="A1" s="76" t="s">
        <v>0</v>
      </c>
      <c r="B1" s="76"/>
      <c r="C1" s="76"/>
      <c r="D1" s="76"/>
      <c r="E1" s="76"/>
      <c r="F1" s="76"/>
      <c r="G1" s="76"/>
      <c r="H1" s="76"/>
    </row>
    <row r="3" spans="1:8" x14ac:dyDescent="0.2">
      <c r="A3" s="77" t="s">
        <v>1</v>
      </c>
      <c r="B3" s="77"/>
      <c r="C3" s="77"/>
      <c r="E3" s="77" t="s">
        <v>2</v>
      </c>
      <c r="F3" s="77"/>
      <c r="G3" s="77"/>
      <c r="H3" s="77"/>
    </row>
    <row r="4" spans="1:8" x14ac:dyDescent="0.2">
      <c r="A4" s="16" t="s">
        <v>3</v>
      </c>
      <c r="B4" s="8">
        <v>5400</v>
      </c>
      <c r="C4" s="15" t="s">
        <v>4</v>
      </c>
      <c r="E4" s="16" t="s">
        <v>5</v>
      </c>
      <c r="F4" s="12">
        <f>IFERROR($B$4/($B$5+$B$6),0)</f>
        <v>22500</v>
      </c>
      <c r="G4" s="43"/>
      <c r="H4" s="44"/>
    </row>
    <row r="5" spans="1:8" ht="24.95" customHeight="1" x14ac:dyDescent="0.2">
      <c r="A5" s="13" t="s">
        <v>6</v>
      </c>
      <c r="B5" s="5">
        <v>0.12</v>
      </c>
      <c r="C5" s="9" t="s">
        <v>7</v>
      </c>
      <c r="E5" s="13" t="s">
        <v>8</v>
      </c>
      <c r="F5" s="78" t="str">
        <f>IF($B$5+$B$6&lt;=0,"比例错误",IF(F4&gt;$B$8+0.01,"输入不一致：反推基数高于上限",IF(ABS(F4-$B$8)&lt;=0.01,"达到上限：仅能判断工资不低于上限",IF(F4&lt;$B$7-0.01,"达到下限或输入异常：无法精确反推","区间内：可近似反推缴存基数"))))</f>
        <v>区间内：可近似反推缴存基数</v>
      </c>
      <c r="G5" s="78"/>
      <c r="H5" s="79"/>
    </row>
    <row r="6" spans="1:8" x14ac:dyDescent="0.2">
      <c r="A6" s="13" t="s">
        <v>9</v>
      </c>
      <c r="B6" s="5">
        <v>0.12</v>
      </c>
      <c r="C6" s="9" t="s">
        <v>7</v>
      </c>
      <c r="E6" s="13" t="s">
        <v>10</v>
      </c>
      <c r="F6" s="7">
        <f>MAX($B$7,MIN(F4,$B$8))</f>
        <v>22500</v>
      </c>
      <c r="G6" s="3"/>
      <c r="H6" s="45"/>
    </row>
    <row r="7" spans="1:8" ht="24.95" customHeight="1" x14ac:dyDescent="0.2">
      <c r="A7" s="13" t="s">
        <v>11</v>
      </c>
      <c r="B7" s="4">
        <v>2500</v>
      </c>
      <c r="C7" s="9" t="s">
        <v>12</v>
      </c>
      <c r="E7" s="13" t="s">
        <v>13</v>
      </c>
      <c r="F7" s="78" t="str">
        <f>IF($B$17&gt;0,"使用手工输入的当前月税前工资","使用公积金缴存基数反推值")</f>
        <v>使用公积金缴存基数反推值</v>
      </c>
      <c r="G7" s="78"/>
      <c r="H7" s="79"/>
    </row>
    <row r="8" spans="1:8" x14ac:dyDescent="0.2">
      <c r="A8" s="13" t="s">
        <v>14</v>
      </c>
      <c r="B8" s="4">
        <v>41112</v>
      </c>
      <c r="C8" s="9" t="s">
        <v>12</v>
      </c>
      <c r="E8" s="13" t="s">
        <v>15</v>
      </c>
      <c r="F8" s="7">
        <f>IF($B$17&gt;0,$B$17,F6)</f>
        <v>22500</v>
      </c>
      <c r="G8" s="3"/>
      <c r="H8" s="45"/>
    </row>
    <row r="9" spans="1:8" x14ac:dyDescent="0.2">
      <c r="A9" s="46" t="s">
        <v>16</v>
      </c>
      <c r="B9" s="47">
        <f>五险权益!$B$11</f>
        <v>0.1</v>
      </c>
      <c r="C9" s="9" t="s">
        <v>17</v>
      </c>
      <c r="E9" s="13" t="s">
        <v>18</v>
      </c>
      <c r="F9" s="7">
        <f>MAX($B$11,MIN(F8,$B$12))</f>
        <v>22500</v>
      </c>
      <c r="G9" s="3"/>
      <c r="H9" s="45"/>
    </row>
    <row r="10" spans="1:8" ht="42" customHeight="1" x14ac:dyDescent="0.2">
      <c r="A10" s="46" t="s">
        <v>19</v>
      </c>
      <c r="B10" s="47">
        <f>五险权益!$C$11</f>
        <v>0.25</v>
      </c>
      <c r="C10" s="9" t="s">
        <v>17</v>
      </c>
      <c r="E10" s="14" t="s">
        <v>20</v>
      </c>
      <c r="F10" s="80" t="s">
        <v>21</v>
      </c>
      <c r="G10" s="80"/>
      <c r="H10" s="81"/>
    </row>
    <row r="11" spans="1:8" x14ac:dyDescent="0.2">
      <c r="A11" s="13" t="s">
        <v>22</v>
      </c>
      <c r="B11" s="4">
        <v>2500</v>
      </c>
      <c r="C11" s="9" t="s">
        <v>23</v>
      </c>
    </row>
    <row r="12" spans="1:8" x14ac:dyDescent="0.2">
      <c r="A12" s="13" t="s">
        <v>24</v>
      </c>
      <c r="B12" s="4">
        <v>41112</v>
      </c>
      <c r="C12" s="9" t="s">
        <v>25</v>
      </c>
    </row>
    <row r="13" spans="1:8" x14ac:dyDescent="0.2">
      <c r="A13" s="13" t="s">
        <v>26</v>
      </c>
      <c r="B13" s="4">
        <v>0</v>
      </c>
      <c r="C13" s="9" t="s">
        <v>4</v>
      </c>
    </row>
    <row r="14" spans="1:8" x14ac:dyDescent="0.2">
      <c r="A14" s="13" t="s">
        <v>27</v>
      </c>
      <c r="B14" s="4">
        <v>0</v>
      </c>
      <c r="C14" s="9" t="s">
        <v>4</v>
      </c>
    </row>
    <row r="15" spans="1:8" x14ac:dyDescent="0.2">
      <c r="A15" s="13" t="s">
        <v>28</v>
      </c>
      <c r="B15" s="4">
        <v>0</v>
      </c>
      <c r="C15" s="9" t="s">
        <v>29</v>
      </c>
    </row>
    <row r="16" spans="1:8" x14ac:dyDescent="0.2">
      <c r="A16" s="13" t="s">
        <v>30</v>
      </c>
      <c r="B16" s="6">
        <v>12</v>
      </c>
      <c r="C16" s="9" t="s">
        <v>31</v>
      </c>
    </row>
    <row r="17" spans="1:8" x14ac:dyDescent="0.2">
      <c r="A17" s="14" t="s">
        <v>32</v>
      </c>
      <c r="B17" s="10">
        <v>0</v>
      </c>
      <c r="C17" s="11" t="s">
        <v>33</v>
      </c>
    </row>
    <row r="20" spans="1:8" ht="26.1" customHeight="1" x14ac:dyDescent="0.2">
      <c r="A20" s="82" t="s">
        <v>34</v>
      </c>
      <c r="B20" s="82"/>
      <c r="C20" s="82"/>
      <c r="E20" s="82" t="s">
        <v>35</v>
      </c>
      <c r="F20" s="82"/>
      <c r="G20" s="82"/>
      <c r="H20" s="82"/>
    </row>
    <row r="21" spans="1:8" x14ac:dyDescent="0.2">
      <c r="A21" s="48" t="s">
        <v>36</v>
      </c>
      <c r="B21" s="59">
        <f>$F$8</f>
        <v>22500</v>
      </c>
      <c r="C21" s="49" t="s">
        <v>4</v>
      </c>
      <c r="E21" s="48" t="s">
        <v>37</v>
      </c>
      <c r="F21" s="59">
        <f>B21*$B$16</f>
        <v>270000</v>
      </c>
      <c r="G21" s="49" t="s">
        <v>38</v>
      </c>
    </row>
    <row r="22" spans="1:8" x14ac:dyDescent="0.2">
      <c r="A22" s="50" t="s">
        <v>39</v>
      </c>
      <c r="B22" s="7">
        <f>$F$6*$B$5</f>
        <v>2700</v>
      </c>
      <c r="C22" s="51" t="s">
        <v>40</v>
      </c>
      <c r="E22" s="50" t="s">
        <v>41</v>
      </c>
      <c r="F22" s="7">
        <f>B32*$B$16</f>
        <v>197400</v>
      </c>
      <c r="G22" s="51" t="s">
        <v>42</v>
      </c>
    </row>
    <row r="23" spans="1:8" x14ac:dyDescent="0.2">
      <c r="A23" s="50" t="s">
        <v>43</v>
      </c>
      <c r="B23" s="7">
        <f>$F$6*$B$6</f>
        <v>2700</v>
      </c>
      <c r="C23" s="51" t="s">
        <v>40</v>
      </c>
      <c r="E23" s="50" t="s">
        <v>44</v>
      </c>
      <c r="F23" s="7">
        <f>(B22+B23)*$B$16</f>
        <v>64800</v>
      </c>
      <c r="G23" s="51" t="s">
        <v>45</v>
      </c>
    </row>
    <row r="24" spans="1:8" x14ac:dyDescent="0.2">
      <c r="A24" s="50" t="s">
        <v>46</v>
      </c>
      <c r="B24" s="42">
        <f>五险权益!$L$9</f>
        <v>2250</v>
      </c>
      <c r="C24" s="51" t="s">
        <v>47</v>
      </c>
      <c r="E24" s="50" t="s">
        <v>48</v>
      </c>
      <c r="F24" s="7">
        <f>B26*$B$16</f>
        <v>27000</v>
      </c>
      <c r="G24" s="51" t="s">
        <v>49</v>
      </c>
    </row>
    <row r="25" spans="1:8" x14ac:dyDescent="0.2">
      <c r="A25" s="50" t="s">
        <v>50</v>
      </c>
      <c r="B25" s="42">
        <f>五险权益!$L$10</f>
        <v>5625</v>
      </c>
      <c r="C25" s="51" t="s">
        <v>51</v>
      </c>
      <c r="E25" s="56" t="s">
        <v>52</v>
      </c>
      <c r="F25" s="61">
        <f>B34*$B$16</f>
        <v>289200</v>
      </c>
      <c r="G25" s="62" t="s">
        <v>53</v>
      </c>
    </row>
    <row r="26" spans="1:8" x14ac:dyDescent="0.2">
      <c r="A26" s="50" t="s">
        <v>54</v>
      </c>
      <c r="B26" s="42">
        <f>五险权益!$L$11</f>
        <v>2250</v>
      </c>
      <c r="C26" s="51" t="s">
        <v>55</v>
      </c>
      <c r="E26" s="50" t="s">
        <v>56</v>
      </c>
      <c r="F26" s="7">
        <f>B24*$B$16</f>
        <v>27000</v>
      </c>
      <c r="G26" s="51" t="s">
        <v>57</v>
      </c>
    </row>
    <row r="27" spans="1:8" x14ac:dyDescent="0.2">
      <c r="A27" s="50" t="s">
        <v>58</v>
      </c>
      <c r="B27" s="42">
        <f>五险权益!$L$12</f>
        <v>5625</v>
      </c>
      <c r="C27" s="51" t="s">
        <v>59</v>
      </c>
      <c r="E27" s="50" t="s">
        <v>60</v>
      </c>
      <c r="F27" s="7">
        <f>B25*$B$16</f>
        <v>67500</v>
      </c>
      <c r="G27" s="51" t="s">
        <v>61</v>
      </c>
    </row>
    <row r="28" spans="1:8" x14ac:dyDescent="0.2">
      <c r="A28" s="50" t="s">
        <v>62</v>
      </c>
      <c r="B28" s="42">
        <f>MAX(0,B21-B22-B24-参数说明!$B$4-$B$13-$B$14)</f>
        <v>12550</v>
      </c>
      <c r="C28" s="51" t="s">
        <v>4</v>
      </c>
      <c r="E28" s="50" t="s">
        <v>63</v>
      </c>
      <c r="F28" s="7">
        <f>B27*$B$16</f>
        <v>67500</v>
      </c>
      <c r="G28" s="51" t="s">
        <v>64</v>
      </c>
    </row>
    <row r="29" spans="1:8" x14ac:dyDescent="0.2">
      <c r="A29" s="50" t="s">
        <v>65</v>
      </c>
      <c r="B29" s="42">
        <f>B28*$B$16</f>
        <v>150600</v>
      </c>
      <c r="C29" s="51" t="s">
        <v>38</v>
      </c>
      <c r="E29" s="50" t="s">
        <v>66</v>
      </c>
      <c r="F29" s="7">
        <f>(B22+B23+B24+B25)*$B$16</f>
        <v>159300</v>
      </c>
      <c r="G29" s="51" t="s">
        <v>67</v>
      </c>
    </row>
    <row r="30" spans="1:8" x14ac:dyDescent="0.2">
      <c r="A30" s="50" t="s">
        <v>68</v>
      </c>
      <c r="B30" s="42">
        <f>IF(B29&lt;=0,0,B29*INDEX(参数说明!$B$7:$B$13,MATCH(B29,参数说明!$A$7:$A$13,1))-INDEX(参数说明!$C$7:$C$13,MATCH(B29,参数说明!$A$7:$A$13,1)))</f>
        <v>13200</v>
      </c>
      <c r="C30" s="51" t="s">
        <v>38</v>
      </c>
      <c r="E30" s="50" t="s">
        <v>69</v>
      </c>
      <c r="F30" s="7">
        <f>B35*$B$16</f>
        <v>369900</v>
      </c>
      <c r="G30" s="51" t="s">
        <v>70</v>
      </c>
    </row>
    <row r="31" spans="1:8" x14ac:dyDescent="0.2">
      <c r="A31" s="50" t="s">
        <v>71</v>
      </c>
      <c r="B31" s="7">
        <f>IF($B$16&lt;=0,0,B30/$B$16)</f>
        <v>1100</v>
      </c>
      <c r="C31" s="51" t="s">
        <v>72</v>
      </c>
      <c r="E31" s="50" t="s">
        <v>73</v>
      </c>
      <c r="F31" s="7">
        <f>$B$15*$B$16</f>
        <v>0</v>
      </c>
      <c r="G31" s="51" t="s">
        <v>38</v>
      </c>
    </row>
    <row r="32" spans="1:8" x14ac:dyDescent="0.2">
      <c r="A32" s="50" t="s">
        <v>74</v>
      </c>
      <c r="B32" s="7">
        <f>B21-B22-B24-B31</f>
        <v>16450</v>
      </c>
      <c r="C32" s="51" t="s">
        <v>75</v>
      </c>
      <c r="E32" s="52" t="s">
        <v>76</v>
      </c>
      <c r="F32" s="60">
        <f>B30</f>
        <v>13200</v>
      </c>
      <c r="G32" s="53" t="s">
        <v>38</v>
      </c>
    </row>
    <row r="33" spans="1:8" x14ac:dyDescent="0.2">
      <c r="A33" s="50" t="s">
        <v>77</v>
      </c>
      <c r="B33" s="7">
        <f>B32+B22+B23</f>
        <v>21850</v>
      </c>
      <c r="C33" s="51" t="s">
        <v>78</v>
      </c>
    </row>
    <row r="34" spans="1:8" x14ac:dyDescent="0.2">
      <c r="A34" s="56" t="s">
        <v>79</v>
      </c>
      <c r="B34" s="61">
        <f>B33+B26</f>
        <v>24100</v>
      </c>
      <c r="C34" s="62" t="s">
        <v>80</v>
      </c>
    </row>
    <row r="35" spans="1:8" x14ac:dyDescent="0.2">
      <c r="A35" s="52" t="s">
        <v>81</v>
      </c>
      <c r="B35" s="60">
        <f>B21+B23+B25+$B$15</f>
        <v>30825</v>
      </c>
      <c r="C35" s="53" t="s">
        <v>82</v>
      </c>
    </row>
    <row r="36" spans="1:8" ht="30" customHeight="1" x14ac:dyDescent="0.2"/>
    <row r="37" spans="1:8" ht="30" customHeight="1" x14ac:dyDescent="0.2"/>
    <row r="38" spans="1:8" ht="30" customHeight="1" x14ac:dyDescent="0.2">
      <c r="A38" s="82" t="s">
        <v>83</v>
      </c>
      <c r="B38" s="82"/>
      <c r="C38" s="82"/>
      <c r="D38" s="82"/>
      <c r="E38" s="82"/>
      <c r="F38" s="82"/>
      <c r="G38" s="82"/>
      <c r="H38" s="82"/>
    </row>
    <row r="39" spans="1:8" ht="30.95" customHeight="1" x14ac:dyDescent="0.2">
      <c r="A39" s="54" t="s">
        <v>84</v>
      </c>
      <c r="B39" s="83" t="s">
        <v>85</v>
      </c>
      <c r="C39" s="83"/>
      <c r="D39" s="83"/>
      <c r="E39" s="83"/>
      <c r="F39" s="83"/>
      <c r="G39" s="83"/>
      <c r="H39" s="84"/>
    </row>
    <row r="40" spans="1:8" ht="30.95" customHeight="1" x14ac:dyDescent="0.2">
      <c r="A40" s="56" t="s">
        <v>86</v>
      </c>
      <c r="B40" s="85" t="s">
        <v>87</v>
      </c>
      <c r="C40" s="85"/>
      <c r="D40" s="85"/>
      <c r="E40" s="85"/>
      <c r="F40" s="85"/>
      <c r="G40" s="85"/>
      <c r="H40" s="86"/>
    </row>
    <row r="41" spans="1:8" ht="30.95" customHeight="1" x14ac:dyDescent="0.2">
      <c r="A41" s="56" t="s">
        <v>88</v>
      </c>
      <c r="B41" s="85" t="s">
        <v>89</v>
      </c>
      <c r="C41" s="85"/>
      <c r="D41" s="85"/>
      <c r="E41" s="85"/>
      <c r="F41" s="85"/>
      <c r="G41" s="85"/>
      <c r="H41" s="86"/>
    </row>
    <row r="42" spans="1:8" ht="30.95" customHeight="1" x14ac:dyDescent="0.2">
      <c r="A42" s="56" t="s">
        <v>90</v>
      </c>
      <c r="B42" s="85" t="s">
        <v>91</v>
      </c>
      <c r="C42" s="85"/>
      <c r="D42" s="85"/>
      <c r="E42" s="85"/>
      <c r="F42" s="85"/>
      <c r="G42" s="85"/>
      <c r="H42" s="86"/>
    </row>
    <row r="43" spans="1:8" ht="30.95" customHeight="1" x14ac:dyDescent="0.2">
      <c r="A43" s="57" t="s">
        <v>92</v>
      </c>
      <c r="B43" s="87" t="s">
        <v>93</v>
      </c>
      <c r="C43" s="87"/>
      <c r="D43" s="87"/>
      <c r="E43" s="87"/>
      <c r="F43" s="87"/>
      <c r="G43" s="87"/>
      <c r="H43" s="88"/>
    </row>
  </sheetData>
  <mergeCells count="14">
    <mergeCell ref="B40:H40"/>
    <mergeCell ref="B41:H41"/>
    <mergeCell ref="B42:H42"/>
    <mergeCell ref="B43:H43"/>
    <mergeCell ref="F10:H10"/>
    <mergeCell ref="A20:C20"/>
    <mergeCell ref="E20:H20"/>
    <mergeCell ref="A38:H38"/>
    <mergeCell ref="B39:H39"/>
    <mergeCell ref="A1:H1"/>
    <mergeCell ref="A3:C3"/>
    <mergeCell ref="E3:H3"/>
    <mergeCell ref="F5:H5"/>
    <mergeCell ref="F7:H7"/>
  </mergeCells>
  <phoneticPr fontId="16" type="noConversion"/>
  <conditionalFormatting sqref="F5:H5">
    <cfRule type="expression" dxfId="7" priority="1">
      <formula>ISNUMBER(SEARCH("区间内",$F$5))</formula>
    </cfRule>
    <cfRule type="expression" dxfId="6" priority="2">
      <formula>ISNUMBER(SEARCH("上限",$F$5))</formula>
    </cfRule>
    <cfRule type="expression" dxfId="5" priority="3">
      <formula>OR(ISNUMBER(SEARCH("不一致",$F$5)),ISNUMBER(SEARCH("错误",$F$5)),ISNUMBER(SEARCH("异常",$F$5)))</formula>
    </cfRule>
    <cfRule type="expression" dxfId="4" priority="4">
      <formula>ISNUMBER(SEARCH("区间内",$F$5))</formula>
    </cfRule>
    <cfRule type="expression" dxfId="3" priority="5">
      <formula>ISNUMBER(SEARCH("上限",$F$5))</formula>
    </cfRule>
    <cfRule type="expression" dxfId="2" priority="6">
      <formula>OR(ISNUMBER(SEARCH("不一致",$F$5)),ISNUMBER(SEARCH("错误",$F$5)),ISNUMBER(SEARCH("异常",$F$5)))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4.25" x14ac:dyDescent="0.2"/>
  <cols>
    <col min="1" max="1" width="26" customWidth="1"/>
    <col min="2" max="3" width="15" customWidth="1"/>
    <col min="4" max="4" width="34" customWidth="1"/>
    <col min="5" max="5" width="56" customWidth="1"/>
  </cols>
  <sheetData>
    <row r="1" spans="1:5" ht="30" customHeight="1" x14ac:dyDescent="0.2">
      <c r="A1" s="76" t="s">
        <v>94</v>
      </c>
      <c r="B1" s="76"/>
      <c r="C1" s="76"/>
      <c r="D1" s="76"/>
      <c r="E1" s="76"/>
    </row>
    <row r="3" spans="1:5" x14ac:dyDescent="0.2">
      <c r="A3" s="1" t="s">
        <v>95</v>
      </c>
      <c r="B3" s="1" t="s">
        <v>96</v>
      </c>
      <c r="C3" s="1" t="s">
        <v>97</v>
      </c>
      <c r="D3" s="1" t="s">
        <v>98</v>
      </c>
      <c r="E3" s="1" t="s">
        <v>99</v>
      </c>
    </row>
    <row r="4" spans="1:5" ht="24" x14ac:dyDescent="0.2">
      <c r="A4" s="17" t="s">
        <v>100</v>
      </c>
      <c r="B4" s="19">
        <v>5000</v>
      </c>
      <c r="C4" s="18" t="s">
        <v>4</v>
      </c>
      <c r="D4" s="29" t="s">
        <v>101</v>
      </c>
      <c r="E4" s="30" t="s">
        <v>102</v>
      </c>
    </row>
    <row r="5" spans="1:5" x14ac:dyDescent="0.2">
      <c r="A5" s="77" t="s">
        <v>103</v>
      </c>
      <c r="B5" s="77"/>
      <c r="C5" s="77"/>
      <c r="D5" s="89"/>
      <c r="E5" s="89"/>
    </row>
    <row r="6" spans="1:5" x14ac:dyDescent="0.2">
      <c r="A6" s="37" t="s">
        <v>104</v>
      </c>
      <c r="B6" s="38" t="s">
        <v>105</v>
      </c>
      <c r="C6" s="39" t="s">
        <v>106</v>
      </c>
      <c r="D6" s="40" t="s">
        <v>107</v>
      </c>
      <c r="E6" s="41" t="s">
        <v>99</v>
      </c>
    </row>
    <row r="7" spans="1:5" ht="24" x14ac:dyDescent="0.2">
      <c r="A7" s="20">
        <v>0</v>
      </c>
      <c r="B7" s="23">
        <v>0.03</v>
      </c>
      <c r="C7" s="26">
        <v>0</v>
      </c>
      <c r="D7" s="31" t="s">
        <v>108</v>
      </c>
      <c r="E7" s="32" t="s">
        <v>102</v>
      </c>
    </row>
    <row r="8" spans="1:5" x14ac:dyDescent="0.2">
      <c r="A8" s="21">
        <v>36000</v>
      </c>
      <c r="B8" s="24">
        <v>0.1</v>
      </c>
      <c r="C8" s="27">
        <v>2520</v>
      </c>
      <c r="D8" s="33" t="s">
        <v>109</v>
      </c>
      <c r="E8" s="34" t="s">
        <v>110</v>
      </c>
    </row>
    <row r="9" spans="1:5" x14ac:dyDescent="0.2">
      <c r="A9" s="21">
        <v>144000</v>
      </c>
      <c r="B9" s="24">
        <v>0.2</v>
      </c>
      <c r="C9" s="27">
        <v>16920</v>
      </c>
      <c r="D9" s="33" t="s">
        <v>111</v>
      </c>
      <c r="E9" s="34" t="s">
        <v>110</v>
      </c>
    </row>
    <row r="10" spans="1:5" x14ac:dyDescent="0.2">
      <c r="A10" s="21">
        <v>300000</v>
      </c>
      <c r="B10" s="24">
        <v>0.25</v>
      </c>
      <c r="C10" s="27">
        <v>31920</v>
      </c>
      <c r="D10" s="33" t="s">
        <v>112</v>
      </c>
      <c r="E10" s="34" t="s">
        <v>110</v>
      </c>
    </row>
    <row r="11" spans="1:5" x14ac:dyDescent="0.2">
      <c r="A11" s="21">
        <v>420000</v>
      </c>
      <c r="B11" s="24">
        <v>0.3</v>
      </c>
      <c r="C11" s="27">
        <v>52920</v>
      </c>
      <c r="D11" s="33" t="s">
        <v>113</v>
      </c>
      <c r="E11" s="34" t="s">
        <v>110</v>
      </c>
    </row>
    <row r="12" spans="1:5" x14ac:dyDescent="0.2">
      <c r="A12" s="22">
        <v>660000</v>
      </c>
      <c r="B12" s="25">
        <v>0.35</v>
      </c>
      <c r="C12" s="28">
        <v>85920</v>
      </c>
      <c r="D12" s="35" t="s">
        <v>114</v>
      </c>
      <c r="E12" s="36" t="s">
        <v>110</v>
      </c>
    </row>
    <row r="13" spans="1:5" x14ac:dyDescent="0.2">
      <c r="A13" s="22">
        <v>960000</v>
      </c>
      <c r="B13" s="25">
        <v>0.45</v>
      </c>
      <c r="C13" s="28">
        <v>181920</v>
      </c>
      <c r="D13" s="35" t="s">
        <v>115</v>
      </c>
      <c r="E13" s="36" t="s">
        <v>110</v>
      </c>
    </row>
    <row r="14" spans="1:5" x14ac:dyDescent="0.2">
      <c r="A14" s="2"/>
      <c r="B14" s="2"/>
      <c r="C14" s="2"/>
      <c r="D14" s="2"/>
      <c r="E14" s="2"/>
    </row>
    <row r="15" spans="1:5" ht="24" x14ac:dyDescent="0.2">
      <c r="A15" s="2" t="s">
        <v>116</v>
      </c>
      <c r="B15" s="2"/>
      <c r="C15" s="2"/>
      <c r="D15" s="2" t="s">
        <v>117</v>
      </c>
      <c r="E15" s="2"/>
    </row>
    <row r="17" spans="1:5" ht="30.95" customHeight="1" x14ac:dyDescent="0.2">
      <c r="A17" s="82" t="s">
        <v>118</v>
      </c>
      <c r="B17" s="82"/>
      <c r="C17" s="82"/>
      <c r="D17" s="82"/>
      <c r="E17" s="82"/>
    </row>
    <row r="18" spans="1:5" ht="30.95" customHeight="1" x14ac:dyDescent="0.2">
      <c r="A18" s="73" t="s">
        <v>119</v>
      </c>
      <c r="B18" s="55"/>
      <c r="C18" s="55"/>
      <c r="D18" s="55" t="s">
        <v>120</v>
      </c>
      <c r="E18" s="49"/>
    </row>
    <row r="19" spans="1:5" ht="30.95" customHeight="1" x14ac:dyDescent="0.2">
      <c r="A19" s="74" t="s">
        <v>121</v>
      </c>
      <c r="B19" s="2"/>
      <c r="C19" s="2"/>
      <c r="D19" s="2" t="s">
        <v>122</v>
      </c>
      <c r="E19" s="51"/>
    </row>
    <row r="20" spans="1:5" ht="30.95" customHeight="1" x14ac:dyDescent="0.2">
      <c r="A20" s="75" t="s">
        <v>123</v>
      </c>
      <c r="B20" s="58"/>
      <c r="C20" s="58"/>
      <c r="D20" s="58" t="s">
        <v>124</v>
      </c>
      <c r="E20" s="53"/>
    </row>
  </sheetData>
  <mergeCells count="3">
    <mergeCell ref="A1:E1"/>
    <mergeCell ref="A5:E5"/>
    <mergeCell ref="A17:E17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/>
  </sheetViews>
  <sheetFormatPr defaultRowHeight="14.25" x14ac:dyDescent="0.2"/>
  <cols>
    <col min="1" max="1" width="16" customWidth="1"/>
    <col min="2" max="4" width="14" customWidth="1"/>
    <col min="5" max="8" width="17" customWidth="1"/>
    <col min="9" max="9" width="43" customWidth="1"/>
    <col min="10" max="10" width="3" customWidth="1"/>
    <col min="11" max="11" width="27" customWidth="1"/>
    <col min="12" max="12" width="18" customWidth="1"/>
    <col min="13" max="13" width="31" customWidth="1"/>
  </cols>
  <sheetData>
    <row r="1" spans="1:13" ht="30" customHeight="1" x14ac:dyDescent="0.2">
      <c r="A1" s="90" t="s">
        <v>125</v>
      </c>
      <c r="B1" s="90"/>
      <c r="C1" s="90"/>
      <c r="D1" s="90"/>
      <c r="E1" s="90"/>
      <c r="F1" s="90"/>
      <c r="G1" s="90"/>
      <c r="H1" s="90"/>
      <c r="I1" s="90"/>
      <c r="J1" s="90"/>
      <c r="K1" s="90" t="s">
        <v>126</v>
      </c>
      <c r="L1" s="90"/>
      <c r="M1" s="90"/>
    </row>
    <row r="3" spans="1:13" ht="39.950000000000003" customHeight="1" x14ac:dyDescent="0.2">
      <c r="A3" s="85" t="s">
        <v>127</v>
      </c>
      <c r="B3" s="85"/>
      <c r="C3" s="85"/>
      <c r="D3" s="85"/>
      <c r="E3" s="85"/>
      <c r="F3" s="85"/>
      <c r="G3" s="85"/>
      <c r="H3" s="85"/>
      <c r="I3" s="85"/>
      <c r="K3" s="48" t="s">
        <v>128</v>
      </c>
      <c r="L3" s="70">
        <f>计算器!$F$9</f>
        <v>22500</v>
      </c>
      <c r="M3" s="49" t="s">
        <v>129</v>
      </c>
    </row>
    <row r="4" spans="1:13" x14ac:dyDescent="0.2">
      <c r="K4" s="50" t="s">
        <v>30</v>
      </c>
      <c r="L4" s="71">
        <f>计算器!$B$16</f>
        <v>12</v>
      </c>
      <c r="M4" s="51" t="s">
        <v>130</v>
      </c>
    </row>
    <row r="5" spans="1:13" ht="36" customHeight="1" x14ac:dyDescent="0.2">
      <c r="A5" s="63" t="s">
        <v>131</v>
      </c>
      <c r="B5" s="64" t="s">
        <v>132</v>
      </c>
      <c r="C5" s="64" t="s">
        <v>133</v>
      </c>
      <c r="D5" s="64" t="s">
        <v>134</v>
      </c>
      <c r="E5" s="64" t="s">
        <v>135</v>
      </c>
      <c r="F5" s="64" t="s">
        <v>136</v>
      </c>
      <c r="G5" s="64" t="s">
        <v>137</v>
      </c>
      <c r="H5" s="64" t="s">
        <v>138</v>
      </c>
      <c r="I5" s="65" t="s">
        <v>139</v>
      </c>
      <c r="K5" s="50" t="s">
        <v>140</v>
      </c>
      <c r="L5" s="67">
        <v>1</v>
      </c>
      <c r="M5" s="51" t="s">
        <v>141</v>
      </c>
    </row>
    <row r="6" spans="1:13" ht="42" customHeight="1" x14ac:dyDescent="0.2">
      <c r="A6" s="50" t="s">
        <v>142</v>
      </c>
      <c r="B6" s="67">
        <v>0.08</v>
      </c>
      <c r="C6" s="67">
        <v>0.16</v>
      </c>
      <c r="D6" s="67">
        <v>0.08</v>
      </c>
      <c r="E6" s="7">
        <f t="shared" ref="E6:G10" si="0">$L$3*B6</f>
        <v>1800</v>
      </c>
      <c r="F6" s="7">
        <f t="shared" si="0"/>
        <v>3600</v>
      </c>
      <c r="G6" s="7">
        <f t="shared" si="0"/>
        <v>1800</v>
      </c>
      <c r="H6" s="7">
        <f>E6+F6-G6</f>
        <v>3600</v>
      </c>
      <c r="I6" s="51" t="s">
        <v>143</v>
      </c>
      <c r="K6" s="52" t="s">
        <v>144</v>
      </c>
      <c r="L6" s="72">
        <v>0</v>
      </c>
      <c r="M6" s="53" t="s">
        <v>145</v>
      </c>
    </row>
    <row r="7" spans="1:13" ht="42" customHeight="1" x14ac:dyDescent="0.2">
      <c r="A7" s="50" t="s">
        <v>146</v>
      </c>
      <c r="B7" s="67">
        <v>0.02</v>
      </c>
      <c r="C7" s="67">
        <v>0.06</v>
      </c>
      <c r="D7" s="67">
        <v>0.02</v>
      </c>
      <c r="E7" s="7">
        <f t="shared" si="0"/>
        <v>450</v>
      </c>
      <c r="F7" s="7">
        <f t="shared" si="0"/>
        <v>1350</v>
      </c>
      <c r="G7" s="7">
        <f t="shared" si="0"/>
        <v>450</v>
      </c>
      <c r="H7" s="7">
        <f>E7+F7-G7</f>
        <v>1350</v>
      </c>
      <c r="I7" s="51" t="s">
        <v>147</v>
      </c>
    </row>
    <row r="8" spans="1:13" ht="42" customHeight="1" x14ac:dyDescent="0.2">
      <c r="A8" s="50" t="s">
        <v>148</v>
      </c>
      <c r="B8" s="67">
        <v>0</v>
      </c>
      <c r="C8" s="67">
        <v>5.0000000000000001E-3</v>
      </c>
      <c r="D8" s="67">
        <v>0</v>
      </c>
      <c r="E8" s="7">
        <f t="shared" si="0"/>
        <v>0</v>
      </c>
      <c r="F8" s="7">
        <f t="shared" si="0"/>
        <v>112.5</v>
      </c>
      <c r="G8" s="7">
        <f t="shared" si="0"/>
        <v>0</v>
      </c>
      <c r="H8" s="7">
        <f>E8+F8-G8</f>
        <v>112.5</v>
      </c>
      <c r="I8" s="51" t="s">
        <v>149</v>
      </c>
      <c r="K8" s="82" t="s">
        <v>150</v>
      </c>
      <c r="L8" s="82"/>
      <c r="M8" s="82"/>
    </row>
    <row r="9" spans="1:13" ht="42" customHeight="1" x14ac:dyDescent="0.2">
      <c r="A9" s="50" t="s">
        <v>151</v>
      </c>
      <c r="B9" s="67">
        <v>0</v>
      </c>
      <c r="C9" s="67">
        <v>5.0000000000000001E-3</v>
      </c>
      <c r="D9" s="67">
        <v>0</v>
      </c>
      <c r="E9" s="7">
        <f t="shared" si="0"/>
        <v>0</v>
      </c>
      <c r="F9" s="7">
        <f t="shared" si="0"/>
        <v>112.5</v>
      </c>
      <c r="G9" s="7">
        <f t="shared" si="0"/>
        <v>0</v>
      </c>
      <c r="H9" s="7">
        <f>E9+F9-G9</f>
        <v>112.5</v>
      </c>
      <c r="I9" s="51" t="s">
        <v>152</v>
      </c>
      <c r="K9" s="48" t="s">
        <v>46</v>
      </c>
      <c r="L9" s="59">
        <f>E11</f>
        <v>2250</v>
      </c>
      <c r="M9" s="49" t="s">
        <v>4</v>
      </c>
    </row>
    <row r="10" spans="1:13" ht="42" customHeight="1" x14ac:dyDescent="0.2">
      <c r="A10" s="50" t="s">
        <v>153</v>
      </c>
      <c r="B10" s="67">
        <v>0</v>
      </c>
      <c r="C10" s="67">
        <v>0.02</v>
      </c>
      <c r="D10" s="67">
        <v>0</v>
      </c>
      <c r="E10" s="7">
        <f t="shared" si="0"/>
        <v>0</v>
      </c>
      <c r="F10" s="7">
        <f t="shared" si="0"/>
        <v>450</v>
      </c>
      <c r="G10" s="7">
        <f t="shared" si="0"/>
        <v>0</v>
      </c>
      <c r="H10" s="7">
        <f>E10+F10-G10</f>
        <v>450</v>
      </c>
      <c r="I10" s="51" t="s">
        <v>154</v>
      </c>
      <c r="K10" s="50" t="s">
        <v>50</v>
      </c>
      <c r="L10" s="7">
        <f>F11</f>
        <v>5625</v>
      </c>
      <c r="M10" s="51" t="s">
        <v>4</v>
      </c>
    </row>
    <row r="11" spans="1:13" x14ac:dyDescent="0.2">
      <c r="A11" s="57" t="s">
        <v>155</v>
      </c>
      <c r="B11" s="68">
        <f t="shared" ref="B11:H11" si="1">SUM(B6:B10)</f>
        <v>0.1</v>
      </c>
      <c r="C11" s="68">
        <f t="shared" si="1"/>
        <v>0.25</v>
      </c>
      <c r="D11" s="68">
        <f t="shared" si="1"/>
        <v>0.1</v>
      </c>
      <c r="E11" s="69">
        <f t="shared" si="1"/>
        <v>2250</v>
      </c>
      <c r="F11" s="69">
        <f t="shared" si="1"/>
        <v>5625</v>
      </c>
      <c r="G11" s="69">
        <f t="shared" si="1"/>
        <v>2250</v>
      </c>
      <c r="H11" s="69">
        <f t="shared" si="1"/>
        <v>5625</v>
      </c>
      <c r="I11" s="66"/>
      <c r="K11" s="50" t="s">
        <v>156</v>
      </c>
      <c r="L11" s="7">
        <f>G11</f>
        <v>2250</v>
      </c>
      <c r="M11" s="51" t="s">
        <v>157</v>
      </c>
    </row>
    <row r="12" spans="1:13" x14ac:dyDescent="0.2">
      <c r="K12" s="50" t="s">
        <v>58</v>
      </c>
      <c r="L12" s="7">
        <f>H11</f>
        <v>5625</v>
      </c>
      <c r="M12" s="51" t="s">
        <v>158</v>
      </c>
    </row>
    <row r="13" spans="1:13" x14ac:dyDescent="0.2">
      <c r="K13" s="50" t="s">
        <v>159</v>
      </c>
      <c r="L13" s="7">
        <f>G11</f>
        <v>2250</v>
      </c>
      <c r="M13" s="51" t="s">
        <v>160</v>
      </c>
    </row>
    <row r="14" spans="1:13" x14ac:dyDescent="0.2">
      <c r="A14" s="82" t="s">
        <v>161</v>
      </c>
      <c r="B14" s="82"/>
      <c r="C14" s="82"/>
      <c r="D14" s="82"/>
      <c r="E14" s="82"/>
      <c r="F14" s="82"/>
      <c r="G14" s="82"/>
      <c r="H14" s="82"/>
      <c r="I14" s="82"/>
      <c r="K14" s="52" t="s">
        <v>162</v>
      </c>
      <c r="L14" s="60">
        <f>G11*$L$5+H11*$L$6</f>
        <v>2250</v>
      </c>
      <c r="M14" s="53" t="s">
        <v>163</v>
      </c>
    </row>
    <row r="15" spans="1:13" ht="33.950000000000003" customHeight="1" x14ac:dyDescent="0.2">
      <c r="A15" s="54" t="s">
        <v>84</v>
      </c>
      <c r="B15" s="83" t="s">
        <v>164</v>
      </c>
      <c r="C15" s="83"/>
      <c r="D15" s="83"/>
      <c r="E15" s="83"/>
      <c r="F15" s="83"/>
      <c r="G15" s="83"/>
      <c r="H15" s="83"/>
      <c r="I15" s="84"/>
      <c r="L15" s="27"/>
    </row>
    <row r="16" spans="1:13" ht="33.950000000000003" customHeight="1" x14ac:dyDescent="0.2">
      <c r="A16" s="56" t="s">
        <v>86</v>
      </c>
      <c r="B16" s="85" t="s">
        <v>165</v>
      </c>
      <c r="C16" s="85"/>
      <c r="D16" s="85"/>
      <c r="E16" s="85"/>
      <c r="F16" s="85"/>
      <c r="G16" s="85"/>
      <c r="H16" s="85"/>
      <c r="I16" s="86"/>
      <c r="K16" s="82" t="s">
        <v>166</v>
      </c>
      <c r="L16" s="91"/>
      <c r="M16" s="82"/>
    </row>
    <row r="17" spans="1:13" ht="33.950000000000003" customHeight="1" x14ac:dyDescent="0.2">
      <c r="A17" s="56" t="s">
        <v>88</v>
      </c>
      <c r="B17" s="85" t="s">
        <v>167</v>
      </c>
      <c r="C17" s="85"/>
      <c r="D17" s="85"/>
      <c r="E17" s="85"/>
      <c r="F17" s="85"/>
      <c r="G17" s="85"/>
      <c r="H17" s="85"/>
      <c r="I17" s="86"/>
      <c r="K17" s="48" t="s">
        <v>56</v>
      </c>
      <c r="L17" s="59">
        <f>L9*$L$4</f>
        <v>27000</v>
      </c>
      <c r="M17" s="49" t="s">
        <v>38</v>
      </c>
    </row>
    <row r="18" spans="1:13" ht="33.950000000000003" customHeight="1" x14ac:dyDescent="0.2">
      <c r="A18" s="56" t="s">
        <v>90</v>
      </c>
      <c r="B18" s="85" t="s">
        <v>168</v>
      </c>
      <c r="C18" s="85"/>
      <c r="D18" s="85"/>
      <c r="E18" s="85"/>
      <c r="F18" s="85"/>
      <c r="G18" s="85"/>
      <c r="H18" s="85"/>
      <c r="I18" s="86"/>
      <c r="K18" s="50" t="s">
        <v>60</v>
      </c>
      <c r="L18" s="7">
        <f>L10*$L$4</f>
        <v>67500</v>
      </c>
      <c r="M18" s="51" t="s">
        <v>38</v>
      </c>
    </row>
    <row r="19" spans="1:13" ht="33.950000000000003" customHeight="1" x14ac:dyDescent="0.2">
      <c r="A19" s="57" t="s">
        <v>92</v>
      </c>
      <c r="B19" s="87" t="s">
        <v>169</v>
      </c>
      <c r="C19" s="87"/>
      <c r="D19" s="87"/>
      <c r="E19" s="87"/>
      <c r="F19" s="87"/>
      <c r="G19" s="87"/>
      <c r="H19" s="87"/>
      <c r="I19" s="88"/>
      <c r="K19" s="50" t="s">
        <v>48</v>
      </c>
      <c r="L19" s="7">
        <f>L11*$L$4</f>
        <v>27000</v>
      </c>
      <c r="M19" s="51" t="s">
        <v>38</v>
      </c>
    </row>
    <row r="20" spans="1:13" x14ac:dyDescent="0.2">
      <c r="K20" s="50" t="s">
        <v>63</v>
      </c>
      <c r="L20" s="7">
        <f>L12*$L$4</f>
        <v>67500</v>
      </c>
      <c r="M20" s="51" t="s">
        <v>38</v>
      </c>
    </row>
    <row r="21" spans="1:13" x14ac:dyDescent="0.2">
      <c r="K21" s="52" t="s">
        <v>170</v>
      </c>
      <c r="L21" s="60">
        <f>L14*$L$4</f>
        <v>27000</v>
      </c>
      <c r="M21" s="53" t="s">
        <v>38</v>
      </c>
    </row>
  </sheetData>
  <mergeCells count="10">
    <mergeCell ref="B17:I17"/>
    <mergeCell ref="B18:I18"/>
    <mergeCell ref="B19:I19"/>
    <mergeCell ref="A1:M1"/>
    <mergeCell ref="A3:I3"/>
    <mergeCell ref="K8:M8"/>
    <mergeCell ref="K16:M16"/>
    <mergeCell ref="A14:I14"/>
    <mergeCell ref="B15:I15"/>
    <mergeCell ref="B16:I16"/>
  </mergeCells>
  <phoneticPr fontId="16" type="noConversion"/>
  <conditionalFormatting sqref="B11:D11">
    <cfRule type="expression" dxfId="1" priority="2">
      <formula>OR(ABS($B$11-10%)&gt;0.0001,ABS($C$11-25%)&gt;0.0001)</formula>
    </cfRule>
  </conditionalFormatting>
  <conditionalFormatting sqref="D6:D10">
    <cfRule type="expression" dxfId="0" priority="1">
      <formula>D6&gt;B6+C6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计算器</vt:lpstr>
      <vt:lpstr>参数说明</vt:lpstr>
      <vt:lpstr>五险权益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金酱</dc:creator>
  <cp:lastModifiedBy>酱 金</cp:lastModifiedBy>
  <dcterms:modified xsi:type="dcterms:W3CDTF">2026-07-08T17:15:32Z</dcterms:modified>
</cp:coreProperties>
</file>