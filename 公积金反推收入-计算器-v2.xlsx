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4e6214a44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器" sheetId="1" r:id="R9d8d8217e2894bc1"/>
    <x:sheet xmlns:r="http://schemas.openxmlformats.org/officeDocument/2006/relationships" name="参数说明" sheetId="2" r:id="R3fd43422cfb8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%;[Red](0.00%);-"/>
    <x:numFmt numFmtId="202" formatCode="0"/>
  </x:numFmts>
  <x:fonts count="21">
    <x:font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5700"/>
      <x:name val="等线"/>
    </x:font>
    <x:font>
      <x:b/>
      <x:sz val="11"/>
      <x:color rgb="FFFA7D00"/>
      <x:name val="等线"/>
    </x:font>
    <x:font>
      <x:sz val="9"/>
      <x:name val="等线"/>
    </x:font>
    <x:font>
      <x:sz val="11"/>
      <x:color theme="1"/>
      <x:name val="等线"/>
    </x:font>
    <x:font>
      <x:b/>
      <x:sz val="11"/>
      <x:color rgb="FFFA7D00"/>
      <x:name val="等线"/>
    </x:font>
    <x:font>
      <x:sz val="11"/>
      <x:color rgb="FFFA7D00"/>
      <x:name val="等线"/>
    </x:font>
    <x:font>
      <x:b/>
      <x:sz val="16"/>
      <x:color rgb="FFFFFFFF"/>
      <x:name val="等线"/>
    </x:font>
    <x:font>
      <x:b/>
      <x:sz val="11"/>
      <x:color rgb="FF1F1F1F"/>
      <x:name val="等线"/>
    </x:font>
    <x:font>
      <x:sz val="11"/>
      <x:color rgb="FF1F1F1F"/>
      <x:name val="等线"/>
    </x:font>
    <x:font>
      <x:sz val="11"/>
      <x:color rgb="FF0000FF"/>
      <x:name val="等线"/>
    </x:font>
    <x:font>
      <x:i/>
      <x:sz val="9"/>
      <x:color rgb="FF666666"/>
      <x:name val="等线"/>
    </x:font>
    <x:font>
      <x:sz val="11"/>
      <x:color rgb="FF000000"/>
      <x:name val="等线"/>
    </x:font>
    <x:font>
      <x:b/>
      <x:sz val="11"/>
      <x:color rgb="FF000000"/>
      <x:name val="等线"/>
    </x:font>
    <x:font>
      <x:b/>
      <x:i/>
      <x:sz val="9"/>
      <x:color rgb="FF666666"/>
      <x:name val="等线"/>
    </x:font>
    <x:font>
      <x:sz val="11"/>
      <x:color rgb="FF008000"/>
      <x:name val="等线"/>
    </x:font>
    <x:font>
      <x:sz val="9"/>
      <x:color rgb="FF008000"/>
      <x:name val="等线"/>
    </x:font>
    <x:font>
      <x:b/>
      <x:sz val="9"/>
      <x:color rgb="FF008000"/>
      <x:name val="等线"/>
    </x:font>
    <x:font>
      <x:b/>
      <x:sz val="9"/>
      <x:color rgb="FF1F1F1F"/>
      <x:name val="等线"/>
    </x:font>
  </x:fonts>
  <x:fills count="11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5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/>
    </x:border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</x:border>
    <x:border>
      <x:left/>
      <x:bottom style="thin">
        <x:color indexed="64"/>
      </x:bottom>
    </x:border>
    <x:border>
      <x:right/>
      <x:bottom style="thin">
        <x:color indexed="64"/>
      </x:bottom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</x:border>
    <x:border>
      <x:left/>
      <x:right style="thin">
        <x:color indexed="64"/>
      </x:right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/>
    </x:border>
    <x:border>
      <x:left/>
      <x:bottom style="thin">
        <x:color indexed="64"/>
      </x:bottom>
    </x:border>
    <x:border>
      <x:right/>
      <x:bottom style="thin">
        <x:color indexed="64"/>
      </x:bottom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</x:border>
    <x:border>
      <x:left/>
      <x:right style="thin">
        <x:color indexed="64"/>
      </x:right>
      <x:top style="thin">
        <x:color indexed="64"/>
      </x:top>
      <x:bottom/>
    </x:border>
    <x:border>
      <x:left style="thin">
        <x:color indexed="64"/>
      </x:left>
      <x:right/>
      <x:top style="thin">
        <x:color indexed="64"/>
      </x:top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5">
    <x:xf numFmtId="0" fontId="0" fillId="0" borderId="0"/>
    <x:xf numFmtId="0" fontId="1" fillId="2" borderId="0" applyNumberFormat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4" fillId="5" borderId="1" applyNumberFormat="0" applyAlignment="0" applyProtection="0">
      <x:alignment vertical="center"/>
    </x:xf>
  </x:cellStyleXfs>
  <x:cellXfs count="397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2" fillId="3" borderId="0" xfId="2" applyAlignment="1">
      <x:alignment horizontal="center" vertical="center"/>
    </x:xf>
    <x:xf numFmtId="0" fontId="0" fillId="0" borderId="0" xfId="0" applyAlignment="1">
      <x:alignment horizontal="center"/>
    </x:xf>
    <x:xf numFmtId="0" fontId="1" fillId="2" borderId="0" xfId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2" xfId="0" applyBorder="1"/>
    <x:xf numFmtId="0" fontId="3" fillId="4" borderId="0" xfId="3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/>
    <x:xf numFmtId="0" fontId="2" fillId="3" borderId="6" xfId="2" applyBorder="1" applyAlignment="1">
      <x:alignment horizontal="center" vertical="center"/>
    </x:xf>
    <x:xf numFmtId="0" fontId="7" fillId="5" borderId="2" xfId="4" applyFont="1" applyBorder="1" applyAlignment="1"/>
    <x:xf numFmtId="0" fontId="7" fillId="5" borderId="2" xfId="4" applyFont="1" applyBorder="1" applyAlignment="1">
      <x:alignment horizontal="center" vertical="center"/>
    </x:xf>
    <x:xf numFmtId="0" fontId="8" fillId="5" borderId="2" xfId="4" applyFont="1" applyBorder="1" applyAlignment="1">
      <x:alignment horizontal="center" vertical="center"/>
    </x:xf>
    <x:xf numFmtId="0" fontId="8" fillId="5" borderId="1" xfId="4" applyFont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1" fillId="2" borderId="0" xfId="1" applyAlignment="1">
      <x:alignment horizontal="center" vertical="center"/>
    </x:xf>
    <x:xf numFmtId="0" fontId="1" fillId="2" borderId="6" xfId="1" applyBorder="1" applyAlignment="1">
      <x:alignment horizontal="center" vertical="center"/>
    </x:xf>
    <x:xf numFmtId="0" fontId="2" fillId="3" borderId="0" xfId="2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3" fillId="4" borderId="7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2" fillId="6" borderId="7" xfId="0" applyNumberFormat="1" applyFont="1" applyFill="1" applyBorder="1" applyAlignment="1">
      <x:alignment horizontal="center" vertic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0" fillId="6" borderId="7" xfId="0" applyNumberFormat="1" applyFont="1" applyFill="1" applyBorder="1"/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/>
    <x:xf numFmtId="0" fontId="9" fillId="6" borderId="7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14" xfId="0" applyNumberFormat="1" applyFont="1" applyFill="1" applyBorder="1" applyAlignment="1">
      <x:alignment horizontal="center" vertical="center"/>
    </x:xf>
    <x:xf numFmtId="0" fontId="10" fillId="7" borderId="14" xfId="0" applyNumberFormat="1" applyFont="1" applyFill="1" applyBorder="1" applyAlignment="1">
      <x:alignment horizontal="left" vertical="center"/>
    </x:xf>
    <x:xf numFmtId="0" fontId="2" fillId="7" borderId="7" xfId="0" applyNumberFormat="1" applyFont="1" applyFill="1" applyBorder="1" applyAlignment="1">
      <x:alignment horizontal="center" vertical="center"/>
    </x:xf>
    <x:xf numFmtId="0" fontId="3" fillId="7" borderId="7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15" xfId="0" applyNumberFormat="1" applyFont="1" applyFill="1" applyBorder="1" applyAlignment="1">
      <x:alignment horizontal="center" vertical="center"/>
    </x:xf>
    <x:xf numFmtId="0" fontId="10" fillId="7" borderId="15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4" xfId="0" applyNumberFormat="1" applyFont="1" applyFill="1" applyBorder="1"/>
    <x:xf numFmtId="0" fontId="10" fillId="7" borderId="14" xfId="0" applyNumberFormat="1" applyFont="1" applyFill="1" applyBorder="1" applyAlignment="1">
      <x:alignment horizontal="left"/>
    </x:xf>
    <x:xf numFmtId="0" fontId="0" fillId="7" borderId="7" xfId="0" applyNumberFormat="1" applyFont="1" applyFill="1" applyBorder="1"/>
    <x:xf numFmtId="0" fontId="10" fillId="7" borderId="7" xfId="0" applyNumberFormat="1" applyFont="1" applyFill="1" applyBorder="1"/>
    <x:xf numFmtId="0" fontId="10" fillId="7" borderId="15" xfId="0" applyNumberFormat="1" applyFont="1" applyFill="1" applyBorder="1"/>
    <x:xf numFmtId="0" fontId="10" fillId="7" borderId="15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0" fillId="8" borderId="7" xfId="0" applyNumberFormat="1" applyFont="1" applyFill="1" applyBorder="1" applyAlignment="1">
      <x:alignment horizontal="center" vertical="center"/>
    </x:xf>
    <x:xf numFmtId="0" fontId="2" fillId="8" borderId="7" xfId="0" applyNumberFormat="1" applyFont="1" applyFill="1" applyBorder="1" applyAlignment="1">
      <x:alignment horizontal="center" vertical="center"/>
    </x:xf>
    <x:xf numFmtId="0" fontId="3" fillId="8" borderId="7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right" vertical="center"/>
    </x:xf>
    <x:xf numFmtId="0" fontId="12" fillId="9" borderId="0" xfId="0" applyNumberFormat="1" applyFont="1" applyFill="1" applyBorder="1" applyAlignment="1">
      <x:alignment horizontal="right"/>
    </x:xf>
    <x:xf numFmtId="0" fontId="0" fillId="9" borderId="7" xfId="0" applyNumberFormat="1" applyFont="1" applyFill="1" applyBorder="1" applyAlignment="1">
      <x:alignment horizontal="center" vertical="center"/>
    </x:xf>
    <x:xf numFmtId="0" fontId="3" fillId="9" borderId="7" xfId="0" applyNumberFormat="1" applyFont="1" applyFill="1" applyBorder="1" applyAlignment="1">
      <x:alignment horizontal="center" vertical="center"/>
    </x:xf>
    <x:xf numFmtId="0" fontId="0" fillId="9" borderId="7" xfId="0" applyNumberFormat="1" applyFont="1" applyFill="1" applyBorder="1"/>
    <x:xf numFmtId="0" fontId="12" fillId="9" borderId="7" xfId="0" applyNumberFormat="1" applyFont="1" applyFill="1" applyBorder="1" applyAlignment="1">
      <x:alignment horizontal="center" vertical="center"/>
    </x:xf>
    <x:xf numFmtId="0" fontId="12" fillId="9" borderId="7" xfId="0" applyNumberFormat="1" applyFont="1" applyFill="1" applyBorder="1"/>
    <x:xf numFmtId="0" fontId="12" fillId="9" borderId="7" xfId="0" applyNumberFormat="1" applyFont="1" applyFill="1" applyBorder="1" applyAlignment="1">
      <x:alignment horizontal="right" vertical="center"/>
    </x:xf>
    <x:xf numFmtId="0" fontId="12" fillId="9" borderId="7" xfId="0" applyNumberFormat="1" applyFont="1" applyFill="1" applyBorder="1" applyAlignment="1">
      <x:alignment horizontal="right"/>
    </x:xf>
    <x:xf numFmtId="0" fontId="13" fillId="0" borderId="0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7" xfId="0" applyNumberFormat="1" applyFont="1" applyFill="1" applyBorder="1" applyAlignment="1">
      <x:alignment horizontal="center" vertical="center"/>
    </x:xf>
    <x:xf numFmtId="0" fontId="13" fillId="4" borderId="7" xfId="0" applyNumberFormat="1" applyFont="1" applyFill="1" applyBorder="1" applyAlignment="1">
      <x:alignment horizontal="center" vertical="center"/>
    </x:xf>
    <x:xf numFmtId="0" fontId="13" fillId="0" borderId="7" xfId="0" applyNumberFormat="1" applyFont="1" applyFill="1" applyBorder="1"/>
    <x:xf numFmtId="0" fontId="13" fillId="0" borderId="7" xfId="0" applyNumberFormat="1" applyFont="1" applyFill="1" applyBorder="1" applyAlignment="1">
      <x:alignment horizontal="center" vertical="center" wrapText="1"/>
    </x:xf>
    <x:xf numFmtId="0" fontId="13" fillId="4" borderId="7" xfId="0" applyNumberFormat="1" applyFont="1" applyFill="1" applyBorder="1" applyAlignment="1">
      <x:alignment horizontal="center" vertical="center" wrapText="1"/>
    </x:xf>
    <x:xf numFmtId="0" fontId="13" fillId="0" borderId="7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/>
    <x:xf numFmtId="0" fontId="0" fillId="8" borderId="7" xfId="0" applyNumberFormat="1" applyFont="1" applyFill="1" applyBorder="1" applyAlignment="1">
      <x:alignment vertical="center"/>
    </x:xf>
    <x:xf numFmtId="0" fontId="0" fillId="8" borderId="7" xfId="0" applyNumberFormat="1" applyFont="1" applyFill="1" applyBorder="1"/>
    <x:xf numFmtId="0" fontId="11" fillId="8" borderId="7" xfId="0" applyNumberFormat="1" applyFont="1" applyFill="1" applyBorder="1" applyAlignment="1">
      <x:alignment vertical="center"/>
    </x:xf>
    <x:xf numFmtId="0" fontId="11" fillId="8" borderId="7" xfId="0" applyNumberFormat="1" applyFont="1" applyFill="1" applyBorder="1"/>
    <x:xf numFmtId="0" fontId="14" fillId="0" borderId="0" xfId="0" applyNumberFormat="1" applyFont="1" applyFill="1" applyBorder="1" applyAlignment="1">
      <x:alignment horizontal="center" vertical="center"/>
    </x:xf>
    <x:xf numFmtId="0" fontId="14" fillId="4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5" fillId="5" borderId="2" xfId="0" applyNumberFormat="1" applyFont="1" applyFill="1" applyBorder="1"/>
    <x:xf numFmtId="0" fontId="14" fillId="5" borderId="1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horizontal="right" vertical="center"/>
    </x:xf>
    <x:xf numFmtId="0" fontId="14" fillId="4" borderId="0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horizontal="right"/>
    </x:xf>
    <x:xf numFmtId="0" fontId="15" fillId="5" borderId="2" xfId="0" applyNumberFormat="1" applyFont="1" applyFill="1" applyBorder="1" applyAlignment="1">
      <x:alignment horizontal="right"/>
    </x:xf>
    <x:xf numFmtId="0" fontId="14" fillId="5" borderId="1" xfId="0" applyNumberFormat="1" applyFont="1" applyFill="1" applyBorder="1" applyAlignment="1">
      <x:alignment horizontal="right" vertical="center"/>
    </x:xf>
    <x:xf numFmtId="0" fontId="15" fillId="5" borderId="2" xfId="0" applyNumberFormat="1" applyFont="1" applyFill="1" applyBorder="1" applyAlignment="1">
      <x:alignment horizontal="right" vertical="center"/>
    </x:xf>
    <x:xf numFmtId="0" fontId="14" fillId="0" borderId="7" xfId="0" applyNumberFormat="1" applyFont="1" applyFill="1" applyBorder="1" applyAlignment="1">
      <x:alignment horizontal="center" vertical="center"/>
    </x:xf>
    <x:xf numFmtId="0" fontId="14" fillId="4" borderId="7" xfId="0" applyNumberFormat="1" applyFont="1" applyFill="1" applyBorder="1" applyAlignment="1">
      <x:alignment horizontal="center" vertical="center"/>
    </x:xf>
    <x:xf numFmtId="0" fontId="14" fillId="0" borderId="7" xfId="0" applyNumberFormat="1" applyFont="1" applyFill="1" applyBorder="1"/>
    <x:xf numFmtId="0" fontId="15" fillId="5" borderId="8" xfId="0" applyNumberFormat="1" applyFont="1" applyFill="1" applyBorder="1"/>
    <x:xf numFmtId="0" fontId="14" fillId="5" borderId="10" xfId="0" applyNumberFormat="1" applyFont="1" applyFill="1" applyBorder="1" applyAlignment="1">
      <x:alignment horizontal="center" vertical="center"/>
    </x:xf>
    <x:xf numFmtId="0" fontId="14" fillId="0" borderId="7" xfId="0" applyNumberFormat="1" applyFont="1" applyFill="1" applyBorder="1" applyAlignment="1">
      <x:alignment horizontal="right" vertical="center"/>
    </x:xf>
    <x:xf numFmtId="0" fontId="14" fillId="4" borderId="7" xfId="0" applyNumberFormat="1" applyFont="1" applyFill="1" applyBorder="1" applyAlignment="1">
      <x:alignment horizontal="right" vertical="center"/>
    </x:xf>
    <x:xf numFmtId="0" fontId="14" fillId="0" borderId="7" xfId="0" applyNumberFormat="1" applyFont="1" applyFill="1" applyBorder="1" applyAlignment="1">
      <x:alignment horizontal="right"/>
    </x:xf>
    <x:xf numFmtId="0" fontId="15" fillId="5" borderId="8" xfId="0" applyNumberFormat="1" applyFont="1" applyFill="1" applyBorder="1" applyAlignment="1">
      <x:alignment horizontal="right"/>
    </x:xf>
    <x:xf numFmtId="0" fontId="14" fillId="5" borderId="10" xfId="0" applyNumberFormat="1" applyFont="1" applyFill="1" applyBorder="1" applyAlignment="1">
      <x:alignment horizontal="right" vertical="center"/>
    </x:xf>
    <x:xf numFmtId="0" fontId="15" fillId="5" borderId="8" xfId="0" applyNumberFormat="1" applyFont="1" applyFill="1" applyBorder="1" applyAlignment="1">
      <x:alignment horizontal="right" vertical="center"/>
    </x:xf>
    <x:xf numFmtId="0" fontId="16" fillId="5" borderId="2" xfId="0" applyNumberFormat="1" applyFont="1" applyFill="1" applyBorder="1" applyAlignment="1">
      <x:alignment horizontal="center" vertical="center"/>
    </x:xf>
    <x:xf numFmtId="0" fontId="16" fillId="5" borderId="2" xfId="0" applyNumberFormat="1" applyFont="1" applyFill="1" applyBorder="1" applyAlignment="1">
      <x:alignment horizontal="center" vertical="center" wrapText="1"/>
    </x:xf>
    <x:xf numFmtId="0" fontId="16" fillId="5" borderId="8" xfId="0" applyNumberFormat="1" applyFont="1" applyFill="1" applyBorder="1" applyAlignment="1">
      <x:alignment horizontal="center" vertical="center"/>
    </x:xf>
    <x:xf numFmtId="0" fontId="16" fillId="5" borderId="8" xfId="0" applyNumberFormat="1" applyFont="1" applyFill="1" applyBorder="1" applyAlignment="1">
      <x:alignment horizontal="center" vertical="center" wrapText="1"/>
    </x:xf>
    <x:xf numFmtId="0" fontId="2" fillId="8" borderId="6" xfId="0" applyNumberFormat="1" applyFont="1" applyFill="1" applyBorder="1" applyAlignment="1">
      <x:alignment horizontal="center" vertical="center"/>
    </x:xf>
    <x:xf numFmtId="0" fontId="0" fillId="8" borderId="2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2" xfId="0" applyNumberFormat="1" applyFont="1" applyFill="1" applyBorder="1" applyAlignment="1">
      <x:alignment horizontal="center" vertical="center"/>
    </x:xf>
    <x:xf numFmtId="0" fontId="2" fillId="8" borderId="9" xfId="0" applyNumberFormat="1" applyFont="1" applyFill="1" applyBorder="1" applyAlignment="1">
      <x:alignment horizontal="center" vertical="center"/>
    </x:xf>
    <x:xf numFmtId="0" fontId="0" fillId="8" borderId="8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14" fillId="3" borderId="0" xfId="0" applyNumberFormat="1" applyFont="1" applyFill="1" applyBorder="1" applyAlignment="1">
      <x:alignment horizontal="center" vertical="center"/>
    </x:xf>
    <x:xf numFmtId="0" fontId="14" fillId="3" borderId="6" xfId="0" applyNumberFormat="1" applyFont="1" applyFill="1" applyBorder="1" applyAlignment="1">
      <x:alignment horizontal="center" vertical="center"/>
    </x:xf>
    <x:xf numFmtId="0" fontId="14" fillId="0" borderId="2" xfId="0" applyNumberFormat="1" applyFont="1" applyFill="1" applyBorder="1"/>
    <x:xf numFmtId="0" fontId="14" fillId="3" borderId="0" xfId="0" applyNumberFormat="1" applyFont="1" applyFill="1" applyBorder="1" applyAlignment="1">
      <x:alignment horizontal="right" vertical="center"/>
    </x:xf>
    <x:xf numFmtId="0" fontId="14" fillId="3" borderId="6" xfId="0" applyNumberFormat="1" applyFont="1" applyFill="1" applyBorder="1" applyAlignment="1">
      <x:alignment horizontal="right" vertical="center"/>
    </x:xf>
    <x:xf numFmtId="0" fontId="14" fillId="0" borderId="2" xfId="0" applyNumberFormat="1" applyFont="1" applyFill="1" applyBorder="1" applyAlignment="1">
      <x:alignment horizontal="right"/>
    </x:xf>
    <x:xf numFmtId="0" fontId="14" fillId="0" borderId="2" xfId="0" applyNumberFormat="1" applyFont="1" applyFill="1" applyBorder="1" applyAlignment="1">
      <x:alignment horizontal="right" vertical="center"/>
    </x:xf>
    <x:xf numFmtId="0" fontId="14" fillId="3" borderId="7" xfId="0" applyNumberFormat="1" applyFont="1" applyFill="1" applyBorder="1" applyAlignment="1">
      <x:alignment horizontal="center" vertical="center"/>
    </x:xf>
    <x:xf numFmtId="0" fontId="14" fillId="3" borderId="9" xfId="0" applyNumberFormat="1" applyFont="1" applyFill="1" applyBorder="1" applyAlignment="1">
      <x:alignment horizontal="center" vertical="center"/>
    </x:xf>
    <x:xf numFmtId="0" fontId="14" fillId="0" borderId="8" xfId="0" applyNumberFormat="1" applyFont="1" applyFill="1" applyBorder="1"/>
    <x:xf numFmtId="0" fontId="14" fillId="3" borderId="7" xfId="0" applyNumberFormat="1" applyFont="1" applyFill="1" applyBorder="1" applyAlignment="1">
      <x:alignment horizontal="right" vertical="center"/>
    </x:xf>
    <x:xf numFmtId="0" fontId="14" fillId="3" borderId="9" xfId="0" applyNumberFormat="1" applyFont="1" applyFill="1" applyBorder="1" applyAlignment="1">
      <x:alignment horizontal="right" vertical="center"/>
    </x:xf>
    <x:xf numFmtId="0" fontId="14" fillId="0" borderId="8" xfId="0" applyNumberFormat="1" applyFont="1" applyFill="1" applyBorder="1" applyAlignment="1">
      <x:alignment horizontal="right"/>
    </x:xf>
    <x:xf numFmtId="0" fontId="14" fillId="0" borderId="8" xfId="0" applyNumberFormat="1" applyFont="1" applyFill="1" applyBorder="1" applyAlignment="1">
      <x:alignment horizontal="right" vertical="center"/>
    </x:xf>
    <x:xf numFmtId="0" fontId="13" fillId="3" borderId="0" xfId="0" applyNumberFormat="1" applyFont="1" applyFill="1" applyBorder="1" applyAlignment="1">
      <x:alignment horizontal="center" vertical="center"/>
    </x:xf>
    <x:xf numFmtId="0" fontId="13" fillId="3" borderId="6" xfId="0" applyNumberFormat="1" applyFont="1" applyFill="1" applyBorder="1" applyAlignment="1">
      <x:alignment horizontal="center" vertical="center"/>
    </x:xf>
    <x:xf numFmtId="0" fontId="13" fillId="0" borderId="2" xfId="0" applyNumberFormat="1" applyFont="1" applyFill="1" applyBorder="1"/>
    <x:xf numFmtId="0" fontId="13" fillId="3" borderId="0" xfId="0" applyNumberFormat="1" applyFont="1" applyFill="1" applyBorder="1" applyAlignment="1">
      <x:alignment horizontal="center" vertical="center" wrapText="1"/>
    </x:xf>
    <x:xf numFmtId="0" fontId="13" fillId="3" borderId="6" xfId="0" applyNumberFormat="1" applyFont="1" applyFill="1" applyBorder="1" applyAlignment="1">
      <x:alignment horizontal="center" vertical="center" wrapText="1"/>
    </x:xf>
    <x:xf numFmtId="0" fontId="13" fillId="0" borderId="2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vertical="center" wrapText="1"/>
    </x:xf>
    <x:xf numFmtId="0" fontId="13" fillId="3" borderId="7" xfId="0" applyNumberFormat="1" applyFont="1" applyFill="1" applyBorder="1" applyAlignment="1">
      <x:alignment horizontal="center" vertical="center"/>
    </x:xf>
    <x:xf numFmtId="0" fontId="13" fillId="3" borderId="9" xfId="0" applyNumberFormat="1" applyFont="1" applyFill="1" applyBorder="1" applyAlignment="1">
      <x:alignment horizontal="center" vertical="center"/>
    </x:xf>
    <x:xf numFmtId="0" fontId="13" fillId="0" borderId="8" xfId="0" applyNumberFormat="1" applyFont="1" applyFill="1" applyBorder="1"/>
    <x:xf numFmtId="0" fontId="13" fillId="3" borderId="7" xfId="0" applyNumberFormat="1" applyFont="1" applyFill="1" applyBorder="1" applyAlignment="1">
      <x:alignment horizontal="center" vertical="center" wrapText="1"/>
    </x:xf>
    <x:xf numFmtId="0" fontId="13" fillId="3" borderId="9" xfId="0" applyNumberFormat="1" applyFont="1" applyFill="1" applyBorder="1" applyAlignment="1">
      <x:alignment horizontal="center" vertical="center" wrapText="1"/>
    </x:xf>
    <x:xf numFmtId="0" fontId="13" fillId="0" borderId="8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 applyAlignment="1">
      <x:alignment horizontal="center" vertical="center"/>
    </x:xf>
    <x:xf numFmtId="0" fontId="0" fillId="10" borderId="7" xfId="0" applyNumberFormat="1" applyFont="1" applyFill="1" applyBorder="1"/>
    <x:xf numFmtId="0" fontId="10" fillId="10" borderId="7" xfId="0" applyNumberFormat="1" applyFont="1" applyFill="1" applyBorder="1"/>
    <x:xf numFmtId="0" fontId="10" fillId="10" borderId="7" xfId="0" applyNumberFormat="1" applyFont="1" applyFill="1" applyBorder="1" applyAlignment="1">
      <x:alignment horizontal="center"/>
    </x:xf>
    <x:xf numFmtId="0" fontId="10" fillId="10" borderId="7" xfId="0" applyNumberFormat="1" applyFont="1" applyFill="1" applyBorder="1" applyAlignment="1">
      <x:alignment horizontal="center" vertical="center"/>
    </x:xf>
    <x:xf numFmtId="0" fontId="17" fillId="0" borderId="2" xfId="0" applyNumberFormat="1" applyFont="1" applyFill="1" applyBorder="1" applyAlignment="1">
      <x:alignment horizontal="right" vertical="center"/>
    </x:xf>
    <x:xf numFmtId="0" fontId="17" fillId="0" borderId="8" xfId="0" applyNumberFormat="1" applyFont="1" applyFill="1" applyBorder="1" applyAlignment="1">
      <x:alignment horizontal="right" vertical="center"/>
    </x:xf>
    <x:xf numFmtId="200" fontId="12" fillId="9" borderId="0" xfId="0" applyNumberFormat="1" applyFont="1" applyFill="1" applyBorder="1" applyAlignment="1">
      <x:alignment horizontal="right" vertical="center"/>
    </x:xf>
    <x:xf numFmtId="200" fontId="12" fillId="9" borderId="7" xfId="0" applyNumberFormat="1" applyFont="1" applyFill="1" applyBorder="1" applyAlignment="1">
      <x:alignment horizontal="right" vertical="center"/>
    </x:xf>
    <x:xf numFmtId="201" fontId="12" fillId="9" borderId="0" xfId="0" applyNumberFormat="1" applyFont="1" applyFill="1" applyBorder="1" applyAlignment="1">
      <x:alignment horizontal="right" vertical="center"/>
    </x:xf>
    <x:xf numFmtId="201" fontId="12" fillId="9" borderId="7" xfId="0" applyNumberFormat="1" applyFont="1" applyFill="1" applyBorder="1" applyAlignment="1">
      <x:alignment horizontal="right" vertical="center"/>
    </x:xf>
    <x:xf numFmtId="202" fontId="12" fillId="9" borderId="0" xfId="0" applyNumberFormat="1" applyFont="1" applyFill="1" applyBorder="1" applyAlignment="1">
      <x:alignment horizontal="right" vertical="center"/>
    </x:xf>
    <x:xf numFmtId="202" fontId="12" fillId="9" borderId="7" xfId="0" applyNumberFormat="1" applyFont="1" applyFill="1" applyBorder="1" applyAlignment="1">
      <x:alignment horizontal="right" vertical="center"/>
    </x:xf>
    <x:xf numFmtId="200" fontId="14" fillId="0" borderId="0" xfId="0" applyNumberFormat="1" applyFont="1" applyFill="1" applyBorder="1" applyAlignment="1">
      <x:alignment horizontal="right" vertical="center"/>
    </x:xf>
    <x:xf numFmtId="200" fontId="14" fillId="0" borderId="7" xfId="0" applyNumberFormat="1" applyFont="1" applyFill="1" applyBorder="1" applyAlignment="1">
      <x:alignment horizontal="right" vertical="center"/>
    </x:xf>
    <x:xf numFmtId="200" fontId="15" fillId="5" borderId="2" xfId="0" applyNumberFormat="1" applyFont="1" applyFill="1" applyBorder="1" applyAlignment="1">
      <x:alignment horizontal="right" vertical="center"/>
    </x:xf>
    <x:xf numFmtId="200" fontId="14" fillId="5" borderId="1" xfId="0" applyNumberFormat="1" applyFont="1" applyFill="1" applyBorder="1" applyAlignment="1">
      <x:alignment horizontal="right" vertical="center"/>
    </x:xf>
    <x:xf numFmtId="200" fontId="15" fillId="5" borderId="8" xfId="0" applyNumberFormat="1" applyFont="1" applyFill="1" applyBorder="1" applyAlignment="1">
      <x:alignment horizontal="right" vertical="center"/>
    </x:xf>
    <x:xf numFmtId="200" fontId="14" fillId="5" borderId="10" xfId="0" applyNumberFormat="1" applyFont="1" applyFill="1" applyBorder="1" applyAlignment="1">
      <x:alignment horizontal="right" vertical="center"/>
    </x:xf>
    <x:xf numFmtId="200" fontId="14" fillId="3" borderId="0" xfId="0" applyNumberFormat="1" applyFont="1" applyFill="1" applyBorder="1" applyAlignment="1">
      <x:alignment horizontal="right" vertical="center"/>
    </x:xf>
    <x:xf numFmtId="200" fontId="14" fillId="3" borderId="6" xfId="0" applyNumberFormat="1" applyFont="1" applyFill="1" applyBorder="1" applyAlignment="1">
      <x:alignment horizontal="right" vertical="center"/>
    </x:xf>
    <x:xf numFmtId="200" fontId="14" fillId="0" borderId="2" xfId="0" applyNumberFormat="1" applyFont="1" applyFill="1" applyBorder="1" applyAlignment="1">
      <x:alignment horizontal="right" vertical="center"/>
    </x:xf>
    <x:xf numFmtId="200" fontId="17" fillId="0" borderId="2" xfId="0" applyNumberFormat="1" applyFont="1" applyFill="1" applyBorder="1" applyAlignment="1">
      <x:alignment horizontal="right" vertical="center"/>
    </x:xf>
    <x:xf numFmtId="200" fontId="14" fillId="3" borderId="7" xfId="0" applyNumberFormat="1" applyFont="1" applyFill="1" applyBorder="1" applyAlignment="1">
      <x:alignment horizontal="right" vertical="center"/>
    </x:xf>
    <x:xf numFmtId="200" fontId="14" fillId="3" borderId="9" xfId="0" applyNumberFormat="1" applyFont="1" applyFill="1" applyBorder="1" applyAlignment="1">
      <x:alignment horizontal="right" vertical="center"/>
    </x:xf>
    <x:xf numFmtId="200" fontId="14" fillId="0" borderId="8" xfId="0" applyNumberFormat="1" applyFont="1" applyFill="1" applyBorder="1" applyAlignment="1">
      <x:alignment horizontal="right" vertical="center"/>
    </x:xf>
    <x:xf numFmtId="200" fontId="17" fillId="0" borderId="8" xfId="0" applyNumberFormat="1" applyFont="1" applyFill="1" applyBorder="1" applyAlignment="1">
      <x:alignment horizontal="right" vertical="center"/>
    </x:xf>
    <x:xf numFmtId="0" fontId="11" fillId="8" borderId="16" xfId="0" applyNumberFormat="1" applyFont="1" applyFill="1" applyBorder="1" applyAlignment="1">
      <x:alignment horizontal="center" vertical="center"/>
    </x:xf>
    <x:xf numFmtId="200" fontId="12" fillId="9" borderId="17" xfId="0" applyNumberFormat="1" applyFont="1" applyFill="1" applyBorder="1" applyAlignment="1">
      <x:alignment horizontal="right" vertical="center"/>
    </x:xf>
    <x:xf numFmtId="0" fontId="13" fillId="0" borderId="18" xfId="0" applyNumberFormat="1" applyFont="1" applyFill="1" applyBorder="1" applyAlignment="1">
      <x:alignment horizontal="center" vertical="center" wrapText="1"/>
    </x:xf>
    <x:xf numFmtId="0" fontId="11" fillId="8" borderId="19" xfId="0" applyNumberFormat="1" applyFont="1" applyFill="1" applyBorder="1" applyAlignment="1">
      <x:alignment horizontal="center" vertical="center"/>
    </x:xf>
    <x:xf numFmtId="0" fontId="13" fillId="4" borderId="20" xfId="0" applyNumberFormat="1" applyFont="1" applyFill="1" applyBorder="1" applyAlignment="1">
      <x:alignment horizontal="center" vertical="center" wrapText="1"/>
    </x:xf>
    <x:xf numFmtId="0" fontId="13" fillId="0" borderId="20" xfId="0" applyNumberFormat="1" applyFont="1" applyFill="1" applyBorder="1" applyAlignment="1">
      <x:alignment horizontal="center" vertical="center" wrapText="1"/>
    </x:xf>
    <x:xf numFmtId="0" fontId="13" fillId="0" borderId="20" xfId="0" applyNumberFormat="1" applyFont="1" applyFill="1" applyBorder="1" applyAlignment="1">
      <x:alignment vertical="center" wrapText="1"/>
    </x:xf>
    <x:xf numFmtId="0" fontId="11" fillId="8" borderId="21" xfId="0" applyNumberFormat="1" applyFont="1" applyFill="1" applyBorder="1" applyAlignment="1">
      <x:alignment horizontal="center" vertical="center"/>
    </x:xf>
    <x:xf numFmtId="200" fontId="12" fillId="9" borderId="22" xfId="0" applyNumberFormat="1" applyFont="1" applyFill="1" applyBorder="1" applyAlignment="1">
      <x:alignment horizontal="right" vertical="center"/>
    </x:xf>
    <x:xf numFmtId="0" fontId="13" fillId="0" borderId="23" xfId="0" applyNumberFormat="1" applyFont="1" applyFill="1" applyBorder="1" applyAlignment="1">
      <x:alignment vertical="center" wrapText="1"/>
    </x:xf>
    <x:xf numFmtId="0" fontId="11" fillId="8" borderId="24" xfId="0" applyNumberFormat="1" applyFont="1" applyFill="1" applyBorder="1" applyAlignment="1">
      <x:alignment horizontal="center" vertical="center"/>
    </x:xf>
    <x:xf numFmtId="200" fontId="12" fillId="9" borderId="25" xfId="0" applyNumberFormat="1" applyFont="1" applyFill="1" applyBorder="1" applyAlignment="1">
      <x:alignment horizontal="right" vertical="center"/>
    </x:xf>
    <x:xf numFmtId="0" fontId="13" fillId="0" borderId="26" xfId="0" applyNumberFormat="1" applyFont="1" applyFill="1" applyBorder="1" applyAlignment="1">
      <x:alignment horizontal="center" vertical="center" wrapText="1"/>
    </x:xf>
    <x:xf numFmtId="0" fontId="11" fillId="8" borderId="27" xfId="0" applyNumberFormat="1" applyFont="1" applyFill="1" applyBorder="1" applyAlignment="1">
      <x:alignment horizontal="center" vertical="center"/>
    </x:xf>
    <x:xf numFmtId="0" fontId="13" fillId="4" borderId="28" xfId="0" applyNumberFormat="1" applyFont="1" applyFill="1" applyBorder="1" applyAlignment="1">
      <x:alignment horizontal="center" vertical="center" wrapText="1"/>
    </x:xf>
    <x:xf numFmtId="0" fontId="13" fillId="0" borderId="28" xfId="0" applyNumberFormat="1" applyFont="1" applyFill="1" applyBorder="1" applyAlignment="1">
      <x:alignment horizontal="center" vertical="center" wrapText="1"/>
    </x:xf>
    <x:xf numFmtId="0" fontId="13" fillId="0" borderId="28" xfId="0" applyNumberFormat="1" applyFont="1" applyFill="1" applyBorder="1" applyAlignment="1">
      <x:alignment vertical="center" wrapText="1"/>
    </x:xf>
    <x:xf numFmtId="0" fontId="11" fillId="8" borderId="29" xfId="0" applyNumberFormat="1" applyFont="1" applyFill="1" applyBorder="1" applyAlignment="1">
      <x:alignment horizontal="center" vertical="center"/>
    </x:xf>
    <x:xf numFmtId="200" fontId="12" fillId="9" borderId="30" xfId="0" applyNumberFormat="1" applyFont="1" applyFill="1" applyBorder="1" applyAlignment="1">
      <x:alignment horizontal="right" vertical="center"/>
    </x:xf>
    <x:xf numFmtId="0" fontId="13" fillId="0" borderId="31" xfId="0" applyNumberFormat="1" applyFont="1" applyFill="1" applyBorder="1" applyAlignment="1">
      <x:alignment vertical="center" wrapText="1"/>
    </x:xf>
    <x:xf numFmtId="200" fontId="14" fillId="0" borderId="17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11" fillId="8" borderId="1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0" xfId="0" applyNumberFormat="1" applyFont="1" applyFill="1" applyBorder="1"/>
    <x:xf numFmtId="0" fontId="11" fillId="8" borderId="21" xfId="0" applyNumberFormat="1" applyFont="1" applyFill="1" applyBorder="1" applyAlignment="1">
      <x:alignment vertical="center"/>
    </x:xf>
    <x:xf numFmtId="0" fontId="16" fillId="5" borderId="32" xfId="0" applyNumberFormat="1" applyFont="1" applyFill="1" applyBorder="1" applyAlignment="1">
      <x:alignment horizontal="center" vertical="center" wrapText="1"/>
    </x:xf>
    <x:xf numFmtId="0" fontId="13" fillId="0" borderId="22" xfId="0" applyNumberFormat="1" applyFont="1" applyFill="1" applyBorder="1" applyAlignment="1">
      <x:alignment vertical="center" wrapText="1"/>
    </x:xf>
    <x:xf numFmtId="200" fontId="14" fillId="0" borderId="25" xfId="0" applyNumberFormat="1" applyFont="1" applyFill="1" applyBorder="1" applyAlignment="1">
      <x:alignment horizontal="right" vertical="center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11" fillId="8" borderId="27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/>
    <x:xf numFmtId="0" fontId="11" fillId="8" borderId="29" xfId="0" applyNumberFormat="1" applyFont="1" applyFill="1" applyBorder="1" applyAlignment="1">
      <x:alignment vertical="center"/>
    </x:xf>
    <x:xf numFmtId="0" fontId="16" fillId="5" borderId="33" xfId="0" applyNumberFormat="1" applyFont="1" applyFill="1" applyBorder="1" applyAlignment="1">
      <x:alignment horizontal="center" vertical="center" wrapText="1"/>
    </x:xf>
    <x:xf numFmtId="0" fontId="13" fillId="0" borderId="30" xfId="0" applyNumberFormat="1" applyFont="1" applyFill="1" applyBorder="1" applyAlignment="1">
      <x:alignment vertical="center" wrapText="1"/>
    </x:xf>
    <x:xf numFmtId="0" fontId="13" fillId="0" borderId="18" xfId="0" applyNumberFormat="1" applyFont="1" applyFill="1" applyBorder="1" applyAlignment="1">
      <x:alignment vertical="center" wrapText="1"/>
    </x:xf>
    <x:xf numFmtId="0" fontId="13" fillId="3" borderId="20" xfId="0" applyNumberFormat="1" applyFont="1" applyFill="1" applyBorder="1" applyAlignment="1">
      <x:alignment horizontal="center" vertical="center" wrapText="1"/>
    </x:xf>
    <x:xf numFmtId="0" fontId="11" fillId="8" borderId="34" xfId="0" applyNumberFormat="1" applyFont="1" applyFill="1" applyBorder="1" applyAlignment="1">
      <x:alignment horizontal="center" vertical="center"/>
    </x:xf>
    <x:xf numFmtId="0" fontId="13" fillId="3" borderId="35" xfId="0" applyNumberFormat="1" applyFont="1" applyFill="1" applyBorder="1" applyAlignment="1">
      <x:alignment horizontal="center" vertical="center" wrapText="1"/>
    </x:xf>
    <x:xf numFmtId="0" fontId="11" fillId="8" borderId="36" xfId="0" applyNumberFormat="1" applyFont="1" applyFill="1" applyBorder="1" applyAlignment="1">
      <x:alignment horizontal="center" vertical="center"/>
    </x:xf>
    <x:xf numFmtId="0" fontId="13" fillId="0" borderId="37" xfId="0" applyNumberFormat="1" applyFont="1" applyFill="1" applyBorder="1" applyAlignment="1">
      <x:alignment vertical="center" wrapText="1"/>
    </x:xf>
    <x:xf numFmtId="0" fontId="11" fillId="8" borderId="38" xfId="0" applyNumberFormat="1" applyFont="1" applyFill="1" applyBorder="1" applyAlignment="1">
      <x:alignment horizontal="center" vertical="center"/>
    </x:xf>
    <x:xf numFmtId="200" fontId="14" fillId="0" borderId="32" xfId="0" applyNumberFormat="1" applyFont="1" applyFill="1" applyBorder="1" applyAlignment="1">
      <x:alignment horizontal="right" vertical="center"/>
    </x:xf>
    <x:xf numFmtId="0" fontId="13" fillId="0" borderId="39" xfId="0" applyNumberFormat="1" applyFont="1" applyFill="1" applyBorder="1" applyAlignment="1">
      <x:alignment vertical="center" wrapText="1"/>
    </x:xf>
    <x:xf numFmtId="0" fontId="13" fillId="0" borderId="26" xfId="0" applyNumberFormat="1" applyFont="1" applyFill="1" applyBorder="1" applyAlignment="1">
      <x:alignment vertical="center" wrapText="1"/>
    </x:xf>
    <x:xf numFmtId="0" fontId="13" fillId="3" borderId="28" xfId="0" applyNumberFormat="1" applyFont="1" applyFill="1" applyBorder="1" applyAlignment="1">
      <x:alignment horizontal="center" vertical="center" wrapText="1"/>
    </x:xf>
    <x:xf numFmtId="0" fontId="11" fillId="8" borderId="40" xfId="0" applyNumberFormat="1" applyFont="1" applyFill="1" applyBorder="1" applyAlignment="1">
      <x:alignment horizontal="center" vertical="center"/>
    </x:xf>
    <x:xf numFmtId="0" fontId="13" fillId="3" borderId="41" xfId="0" applyNumberFormat="1" applyFont="1" applyFill="1" applyBorder="1" applyAlignment="1">
      <x:alignment horizontal="center" vertical="center" wrapText="1"/>
    </x:xf>
    <x:xf numFmtId="0" fontId="11" fillId="8" borderId="42" xfId="0" applyNumberFormat="1" applyFont="1" applyFill="1" applyBorder="1" applyAlignment="1">
      <x:alignment horizontal="center" vertical="center"/>
    </x:xf>
    <x:xf numFmtId="0" fontId="13" fillId="0" borderId="43" xfId="0" applyNumberFormat="1" applyFont="1" applyFill="1" applyBorder="1" applyAlignment="1">
      <x:alignment vertical="center" wrapText="1"/>
    </x:xf>
    <x:xf numFmtId="0" fontId="11" fillId="8" borderId="44" xfId="0" applyNumberFormat="1" applyFont="1" applyFill="1" applyBorder="1" applyAlignment="1">
      <x:alignment horizontal="center" vertical="center"/>
    </x:xf>
    <x:xf numFmtId="200" fontId="14" fillId="0" borderId="33" xfId="0" applyNumberFormat="1" applyFont="1" applyFill="1" applyBorder="1" applyAlignment="1">
      <x:alignment horizontal="right" vertical="center"/>
    </x:xf>
    <x:xf numFmtId="0" fontId="13" fillId="0" borderId="45" xfId="0" applyNumberFormat="1" applyFont="1" applyFill="1" applyBorder="1" applyAlignment="1">
      <x:alignment vertical="center" wrapText="1"/>
    </x:xf>
    <x:xf numFmtId="0" fontId="11" fillId="8" borderId="16" xfId="0" applyNumberFormat="1" applyFont="1" applyFill="1" applyBorder="1" applyAlignment="1">
      <x:alignment vertical="center"/>
    </x:xf>
    <x:xf numFmtId="200" fontId="14" fillId="0" borderId="22" xfId="0" applyNumberFormat="1" applyFont="1" applyFill="1" applyBorder="1" applyAlignment="1">
      <x:alignment horizontal="right" vertical="center"/>
    </x:xf>
    <x:xf numFmtId="0" fontId="11" fillId="8" borderId="24" xfId="0" applyNumberFormat="1" applyFont="1" applyFill="1" applyBorder="1" applyAlignment="1">
      <x:alignment vertical="center"/>
    </x:xf>
    <x:xf numFmtId="200" fontId="14" fillId="0" borderId="30" xfId="0" applyNumberFormat="1" applyFont="1" applyFill="1" applyBorder="1" applyAlignment="1">
      <x:alignment horizontal="right" vertical="center"/>
    </x:xf>
    <x:xf numFmtId="0" fontId="10" fillId="10" borderId="16" xfId="0" applyNumberFormat="1" applyFont="1" applyFill="1" applyBorder="1" applyAlignment="1">
      <x:alignment horizontal="center" vertical="center"/>
    </x:xf>
    <x:xf numFmtId="0" fontId="13" fillId="0" borderId="17" xfId="0" applyNumberFormat="1" applyFont="1" applyFill="1" applyBorder="1" applyAlignment="1">
      <x:alignment vertical="center" wrapText="1"/>
    </x:xf>
    <x:xf numFmtId="0" fontId="10" fillId="10" borderId="19" xfId="0" applyNumberFormat="1" applyFont="1" applyFill="1" applyBorder="1" applyAlignment="1">
      <x:alignment horizontal="center" vertical="center"/>
    </x:xf>
    <x:xf numFmtId="0" fontId="10" fillId="10" borderId="21" xfId="0" applyNumberFormat="1" applyFont="1" applyFill="1" applyBorder="1" applyAlignment="1">
      <x:alignment horizontal="center" vertical="center"/>
    </x:xf>
    <x:xf numFmtId="0" fontId="10" fillId="10" borderId="24" xfId="0" applyNumberFormat="1" applyFont="1" applyFill="1" applyBorder="1" applyAlignment="1">
      <x:alignment horizontal="center" vertical="center"/>
    </x:xf>
    <x:xf numFmtId="0" fontId="13" fillId="0" borderId="25" xfId="0" applyNumberFormat="1" applyFont="1" applyFill="1" applyBorder="1" applyAlignment="1">
      <x:alignment vertical="center" wrapText="1"/>
    </x:xf>
    <x:xf numFmtId="0" fontId="10" fillId="10" borderId="27" xfId="0" applyNumberFormat="1" applyFont="1" applyFill="1" applyBorder="1" applyAlignment="1">
      <x:alignment horizontal="center" vertical="center"/>
    </x:xf>
    <x:xf numFmtId="0" fontId="10" fillId="10" borderId="29" xfId="0" applyNumberFormat="1" applyFont="1" applyFill="1" applyBorder="1" applyAlignment="1">
      <x:alignment horizontal="center" vertical="center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16" xfId="0" applyNumberFormat="1" applyFont="1" applyFill="1" applyBorder="1"/>
    <x:xf numFmtId="0" fontId="0" fillId="0" borderId="19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7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12" fillId="0" borderId="47" xfId="0" applyNumberFormat="1" applyFont="1" applyFill="1" applyBorder="1"/>
    <x:xf numFmtId="0" fontId="12" fillId="0" borderId="50" xfId="0" applyNumberFormat="1" applyFont="1" applyFill="1" applyBorder="1"/>
    <x:xf numFmtId="0" fontId="12" fillId="9" borderId="47" xfId="0" applyNumberFormat="1" applyFont="1" applyFill="1" applyBorder="1"/>
    <x:xf numFmtId="0" fontId="12" fillId="9" borderId="50" xfId="0" applyNumberFormat="1" applyFont="1" applyFill="1" applyBorder="1"/>
    <x:xf numFmtId="200" fontId="12" fillId="9" borderId="47" xfId="0" applyNumberFormat="1" applyFont="1" applyFill="1" applyBorder="1"/>
    <x:xf numFmtId="200" fontId="12" fillId="9" borderId="50" xfId="0" applyNumberFormat="1" applyFont="1" applyFill="1" applyBorder="1"/>
    <x:xf numFmtId="200" fontId="0" fillId="0" borderId="16" xfId="0" applyNumberFormat="1" applyFont="1" applyFill="1" applyBorder="1"/>
    <x:xf numFmtId="200" fontId="0" fillId="0" borderId="19" xfId="0" applyNumberFormat="1" applyFont="1" applyFill="1" applyBorder="1"/>
    <x:xf numFmtId="200" fontId="0" fillId="0" borderId="21" xfId="0" applyNumberFormat="1" applyFont="1" applyFill="1" applyBorder="1"/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9" xfId="0" applyNumberFormat="1" applyFont="1" applyFill="1" applyBorder="1"/>
    <x:xf numFmtId="201" fontId="0" fillId="0" borderId="17" xfId="0" applyNumberFormat="1" applyFont="1" applyFill="1" applyBorder="1"/>
    <x:xf numFmtId="201" fontId="0" fillId="0" borderId="0" xfId="0" applyNumberFormat="1" applyFont="1" applyFill="1" applyBorder="1"/>
    <x:xf numFmtId="201" fontId="0" fillId="0" borderId="22" xfId="0" applyNumberFormat="1" applyFont="1" applyFill="1" applyBorder="1"/>
    <x:xf numFmtId="201" fontId="0" fillId="0" borderId="25" xfId="0" applyNumberFormat="1" applyFont="1" applyFill="1" applyBorder="1"/>
    <x:xf numFmtId="201" fontId="0" fillId="0" borderId="7" xfId="0" applyNumberFormat="1" applyFont="1" applyFill="1" applyBorder="1"/>
    <x:xf numFmtId="201" fontId="0" fillId="0" borderId="30" xfId="0" applyNumberFormat="1" applyFont="1" applyFill="1" applyBorder="1"/>
    <x:xf numFmtId="20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22" xfId="0" applyNumberFormat="1" applyFont="1" applyFill="1" applyBorder="1"/>
    <x:xf numFmtId="200" fontId="0" fillId="0" borderId="25" xfId="0" applyNumberFormat="1" applyFont="1" applyFill="1" applyBorder="1"/>
    <x:xf numFmtId="200" fontId="0" fillId="0" borderId="7" xfId="0" applyNumberFormat="1" applyFont="1" applyFill="1" applyBorder="1"/>
    <x:xf numFmtId="200" fontId="0" fillId="0" borderId="30" xfId="0" applyNumberFormat="1" applyFont="1" applyFill="1" applyBorder="1"/>
    <x:xf numFmtId="0" fontId="18" fillId="0" borderId="48" xfId="0" applyNumberFormat="1" applyFont="1" applyFill="1" applyBorder="1"/>
    <x:xf numFmtId="0" fontId="19" fillId="7" borderId="14" xfId="0" applyNumberFormat="1" applyFont="1" applyFill="1" applyBorder="1" applyAlignment="1">
      <x:alignment horizontal="left" vertical="center"/>
    </x:xf>
    <x:xf numFmtId="0" fontId="18" fillId="0" borderId="18" xfId="0" applyNumberFormat="1" applyFont="1" applyFill="1" applyBorder="1"/>
    <x:xf numFmtId="0" fontId="18" fillId="0" borderId="20" xfId="0" applyNumberFormat="1" applyFont="1" applyFill="1" applyBorder="1"/>
    <x:xf numFmtId="0" fontId="18" fillId="0" borderId="23" xfId="0" applyNumberFormat="1" applyFont="1" applyFill="1" applyBorder="1"/>
    <x:xf numFmtId="0" fontId="18" fillId="0" borderId="51" xfId="0" applyNumberFormat="1" applyFont="1" applyFill="1" applyBorder="1"/>
    <x:xf numFmtId="0" fontId="19" fillId="7" borderId="15" xfId="0" applyNumberFormat="1" applyFont="1" applyFill="1" applyBorder="1" applyAlignment="1">
      <x:alignment horizontal="left" vertical="center"/>
    </x:xf>
    <x:xf numFmtId="0" fontId="18" fillId="0" borderId="26" xfId="0" applyNumberFormat="1" applyFont="1" applyFill="1" applyBorder="1"/>
    <x:xf numFmtId="0" fontId="18" fillId="0" borderId="28" xfId="0" applyNumberFormat="1" applyFont="1" applyFill="1" applyBorder="1"/>
    <x:xf numFmtId="0" fontId="18" fillId="0" borderId="31" xfId="0" applyNumberFormat="1" applyFont="1" applyFill="1" applyBorder="1"/>
    <x:xf numFmtId="0" fontId="0" fillId="0" borderId="47" xfId="0" applyNumberFormat="1" applyFont="1" applyFill="1" applyBorder="1" applyAlignment="1">
      <x:alignment wrapText="1"/>
    </x:xf>
    <x:xf numFmtId="0" fontId="18" fillId="0" borderId="48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horizontal="left" vertical="center" wrapText="1"/>
    </x:xf>
    <x:xf numFmtId="0" fontId="19" fillId="7" borderId="14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wrapText="1"/>
    </x:xf>
    <x:xf numFmtId="0" fontId="18" fillId="0" borderId="1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8" fillId="0" borderId="20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18" fillId="0" borderId="23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18" fillId="0" borderId="51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horizontal="left" vertical="center" wrapText="1"/>
    </x:xf>
    <x:xf numFmtId="0" fontId="19" fillId="7" borderId="15" xfId="0" applyNumberFormat="1" applyFont="1" applyFill="1" applyBorder="1" applyAlignment="1">
      <x:alignment horizontal="left" vertical="center" wrapText="1"/>
    </x:xf>
    <x:xf numFmtId="0" fontId="0" fillId="0" borderId="25" xfId="0" applyNumberFormat="1" applyFont="1" applyFill="1" applyBorder="1" applyAlignment="1">
      <x:alignment wrapText="1"/>
    </x:xf>
    <x:xf numFmtId="0" fontId="18" fillId="0" borderId="2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18" fillId="0" borderId="28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18" fillId="0" borderId="31" xfId="0" applyNumberFormat="1" applyFont="1" applyFill="1" applyBorder="1" applyAlignment="1">
      <x:alignment wrapText="1"/>
    </x:xf>
    <x:xf numFmtId="200" fontId="0" fillId="10" borderId="16" xfId="0" applyNumberFormat="1" applyFont="1" applyFill="1" applyBorder="1"/>
    <x:xf numFmtId="201" fontId="0" fillId="10" borderId="17" xfId="0" applyNumberFormat="1" applyFont="1" applyFill="1" applyBorder="1"/>
    <x:xf numFmtId="200" fontId="0" fillId="10" borderId="17" xfId="0" applyNumberFormat="1" applyFont="1" applyFill="1" applyBorder="1"/>
    <x:xf numFmtId="0" fontId="0" fillId="10" borderId="17" xfId="0" applyNumberFormat="1" applyFont="1" applyFill="1" applyBorder="1" applyAlignment="1">
      <x:alignment wrapText="1"/>
    </x:xf>
    <x:xf numFmtId="0" fontId="18" fillId="10" borderId="18" xfId="0" applyNumberFormat="1" applyFont="1" applyFill="1" applyBorder="1" applyAlignment="1">
      <x:alignment wrapText="1"/>
    </x:xf>
    <x:xf numFmtId="200" fontId="10" fillId="10" borderId="16" xfId="0" applyNumberFormat="1" applyFont="1" applyFill="1" applyBorder="1"/>
    <x:xf numFmtId="201" fontId="10" fillId="10" borderId="17" xfId="0" applyNumberFormat="1" applyFont="1" applyFill="1" applyBorder="1"/>
    <x:xf numFmtId="200" fontId="10" fillId="10" borderId="17" xfId="0" applyNumberFormat="1" applyFont="1" applyFill="1" applyBorder="1"/>
    <x:xf numFmtId="0" fontId="10" fillId="10" borderId="17" xfId="0" applyNumberFormat="1" applyFont="1" applyFill="1" applyBorder="1" applyAlignment="1">
      <x:alignment wrapText="1"/>
    </x:xf>
    <x:xf numFmtId="0" fontId="20" fillId="10" borderId="18" xfId="0" applyNumberFormat="1" applyFont="1" applyFill="1" applyBorder="1" applyAlignment="1">
      <x:alignment wrapText="1"/>
    </x:xf>
    <x:xf numFmtId="200" fontId="10" fillId="10" borderId="16" xfId="0" applyNumberFormat="1" applyFont="1" applyFill="1" applyBorder="1" applyAlignment="1">
      <x:alignment horizontal="center"/>
    </x:xf>
    <x:xf numFmtId="201" fontId="10" fillId="10" borderId="17" xfId="0" applyNumberFormat="1" applyFont="1" applyFill="1" applyBorder="1" applyAlignment="1">
      <x:alignment horizontal="center"/>
    </x:xf>
    <x:xf numFmtId="200" fontId="10" fillId="10" borderId="17" xfId="0" applyNumberFormat="1" applyFont="1" applyFill="1" applyBorder="1" applyAlignment="1">
      <x:alignment horizontal="center"/>
    </x:xf>
    <x:xf numFmtId="0" fontId="10" fillId="10" borderId="17" xfId="0" applyNumberFormat="1" applyFont="1" applyFill="1" applyBorder="1" applyAlignment="1">
      <x:alignment horizontal="center" wrapText="1"/>
    </x:xf>
    <x:xf numFmtId="0" fontId="20" fillId="10" borderId="18" xfId="0" applyNumberFormat="1" applyFont="1" applyFill="1" applyBorder="1" applyAlignment="1">
      <x:alignment horizontal="center" wrapText="1"/>
    </x:xf>
    <x:xf numFmtId="200" fontId="10" fillId="10" borderId="16" xfId="0" applyNumberFormat="1" applyFont="1" applyFill="1" applyBorder="1" applyAlignment="1">
      <x:alignment horizontal="center" vertical="center"/>
    </x:xf>
    <x:xf numFmtId="201" fontId="10" fillId="10" borderId="17" xfId="0" applyNumberFormat="1" applyFont="1" applyFill="1" applyBorder="1" applyAlignment="1">
      <x:alignment horizontal="center" vertical="center"/>
    </x:xf>
    <x:xf numFmtId="200" fontId="10" fillId="10" borderId="17" xfId="0" applyNumberFormat="1" applyFont="1" applyFill="1" applyBorder="1" applyAlignment="1">
      <x:alignment horizontal="center" vertical="center"/>
    </x:xf>
    <x:xf numFmtId="0" fontId="10" fillId="10" borderId="17" xfId="0" applyNumberFormat="1" applyFont="1" applyFill="1" applyBorder="1" applyAlignment="1">
      <x:alignment horizontal="center" vertical="center" wrapText="1"/>
    </x:xf>
    <x:xf numFmtId="0" fontId="20" fillId="10" borderId="18" xfId="0" applyNumberFormat="1" applyFont="1" applyFill="1" applyBorder="1" applyAlignment="1">
      <x:alignment horizontal="center" vertical="center" wrapText="1"/>
    </x:xf>
    <x:xf numFmtId="200" fontId="0" fillId="10" borderId="24" xfId="0" applyNumberFormat="1" applyFont="1" applyFill="1" applyBorder="1"/>
    <x:xf numFmtId="201" fontId="0" fillId="10" borderId="25" xfId="0" applyNumberFormat="1" applyFont="1" applyFill="1" applyBorder="1"/>
    <x:xf numFmtId="200" fontId="0" fillId="10" borderId="25" xfId="0" applyNumberFormat="1" applyFont="1" applyFill="1" applyBorder="1"/>
    <x:xf numFmtId="0" fontId="0" fillId="10" borderId="25" xfId="0" applyNumberFormat="1" applyFont="1" applyFill="1" applyBorder="1" applyAlignment="1">
      <x:alignment wrapText="1"/>
    </x:xf>
    <x:xf numFmtId="0" fontId="18" fillId="10" borderId="26" xfId="0" applyNumberFormat="1" applyFont="1" applyFill="1" applyBorder="1" applyAlignment="1">
      <x:alignment wrapText="1"/>
    </x:xf>
    <x:xf numFmtId="200" fontId="10" fillId="10" borderId="24" xfId="0" applyNumberFormat="1" applyFont="1" applyFill="1" applyBorder="1"/>
    <x:xf numFmtId="201" fontId="10" fillId="10" borderId="25" xfId="0" applyNumberFormat="1" applyFont="1" applyFill="1" applyBorder="1"/>
    <x:xf numFmtId="200" fontId="10" fillId="10" borderId="25" xfId="0" applyNumberFormat="1" applyFont="1" applyFill="1" applyBorder="1"/>
    <x:xf numFmtId="0" fontId="10" fillId="10" borderId="25" xfId="0" applyNumberFormat="1" applyFont="1" applyFill="1" applyBorder="1" applyAlignment="1">
      <x:alignment wrapText="1"/>
    </x:xf>
    <x:xf numFmtId="0" fontId="20" fillId="10" borderId="26" xfId="0" applyNumberFormat="1" applyFont="1" applyFill="1" applyBorder="1" applyAlignment="1">
      <x:alignment wrapText="1"/>
    </x:xf>
    <x:xf numFmtId="200" fontId="10" fillId="10" borderId="24" xfId="0" applyNumberFormat="1" applyFont="1" applyFill="1" applyBorder="1" applyAlignment="1">
      <x:alignment horizontal="center"/>
    </x:xf>
    <x:xf numFmtId="201" fontId="10" fillId="10" borderId="25" xfId="0" applyNumberFormat="1" applyFont="1" applyFill="1" applyBorder="1" applyAlignment="1">
      <x:alignment horizontal="center"/>
    </x:xf>
    <x:xf numFmtId="200" fontId="10" fillId="10" borderId="25" xfId="0" applyNumberFormat="1" applyFont="1" applyFill="1" applyBorder="1" applyAlignment="1">
      <x:alignment horizontal="center"/>
    </x:xf>
    <x:xf numFmtId="0" fontId="10" fillId="10" borderId="25" xfId="0" applyNumberFormat="1" applyFont="1" applyFill="1" applyBorder="1" applyAlignment="1">
      <x:alignment horizontal="center" wrapText="1"/>
    </x:xf>
    <x:xf numFmtId="0" fontId="20" fillId="10" borderId="26" xfId="0" applyNumberFormat="1" applyFont="1" applyFill="1" applyBorder="1" applyAlignment="1">
      <x:alignment horizontal="center" wrapText="1"/>
    </x:xf>
    <x:xf numFmtId="200" fontId="10" fillId="10" borderId="24" xfId="0" applyNumberFormat="1" applyFont="1" applyFill="1" applyBorder="1" applyAlignment="1">
      <x:alignment horizontal="center" vertical="center"/>
    </x:xf>
    <x:xf numFmtId="201" fontId="10" fillId="10" borderId="25" xfId="0" applyNumberFormat="1" applyFont="1" applyFill="1" applyBorder="1" applyAlignment="1">
      <x:alignment horizontal="center" vertical="center"/>
    </x:xf>
    <x:xf numFmtId="200" fontId="10" fillId="10" borderId="25" xfId="0" applyNumberFormat="1" applyFont="1" applyFill="1" applyBorder="1" applyAlignment="1">
      <x:alignment horizontal="center" vertical="center"/>
    </x:xf>
    <x:xf numFmtId="0" fontId="10" fillId="10" borderId="25" xfId="0" applyNumberFormat="1" applyFont="1" applyFill="1" applyBorder="1" applyAlignment="1">
      <x:alignment horizontal="center" vertical="center" wrapText="1"/>
    </x:xf>
    <x:xf numFmtId="0" fontId="20" fillId="10" borderId="26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horizontal="right" vertical="center"/>
    </x:xf>
    <x:xf numFmtId="0" fontId="17" fillId="0" borderId="7" xfId="0" applyNumberFormat="1" applyFont="1" applyFill="1" applyBorder="1" applyAlignment="1">
      <x:alignment horizontal="right" vertical="center"/>
    </x:xf>
    <x:xf numFmtId="200" fontId="17" fillId="0" borderId="0" xfId="0" applyNumberFormat="1" applyFont="1" applyFill="1" applyBorder="1" applyAlignment="1">
      <x:alignment horizontal="right" vertical="center"/>
    </x:xf>
    <x:xf numFmtId="200" fontId="17" fillId="0" borderId="7" xfId="0" applyNumberFormat="1" applyFont="1" applyFill="1" applyBorder="1" applyAlignment="1">
      <x:alignment horizontal="right" vertical="center"/>
    </x:xf>
    <x:xf numFmtId="0" fontId="14" fillId="0" borderId="17" xfId="0" applyNumberFormat="1" applyFont="1" applyFill="1" applyBorder="1" applyAlignment="1">
      <x:alignment horizontal="right" vertical="center"/>
    </x:xf>
    <x:xf numFmtId="0" fontId="14" fillId="0" borderId="18" xfId="0" applyNumberFormat="1" applyFont="1" applyFill="1" applyBorder="1" applyAlignment="1">
      <x:alignment horizontal="right" vertical="center"/>
    </x:xf>
    <x:xf numFmtId="0" fontId="14" fillId="0" borderId="20" xfId="0" applyNumberFormat="1" applyFont="1" applyFill="1" applyBorder="1" applyAlignment="1">
      <x:alignment horizontal="right" vertical="center"/>
    </x:xf>
    <x:xf numFmtId="0" fontId="14" fillId="0" borderId="25" xfId="0" applyNumberFormat="1" applyFont="1" applyFill="1" applyBorder="1" applyAlignment="1">
      <x:alignment horizontal="right" vertical="center"/>
    </x:xf>
    <x:xf numFmtId="0" fontId="14" fillId="0" borderId="26" xfId="0" applyNumberFormat="1" applyFont="1" applyFill="1" applyBorder="1" applyAlignment="1">
      <x:alignment horizontal="right" vertical="center"/>
    </x:xf>
    <x:xf numFmtId="0" fontId="14" fillId="0" borderId="28" xfId="0" applyNumberFormat="1" applyFont="1" applyFill="1" applyBorder="1" applyAlignment="1">
      <x:alignment horizontal="right" vertical="center"/>
    </x:xf>
  </x:cellXfs>
  <x:cellStyles count="5">
    <x:cellStyle name="差" xfId="2"/>
    <x:cellStyle name="常规" xfId="0"/>
    <x:cellStyle name="好" xfId="1"/>
    <x:cellStyle name="计算" xfId="4"/>
    <x:cellStyle name="适中" xfId="3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89366b1244dc1" /><Relationship Type="http://schemas.openxmlformats.org/officeDocument/2006/relationships/theme" Target="/xl/theme/theme1.xml" Id="R48cbbfabefae445d" /><Relationship Type="http://schemas.openxmlformats.org/officeDocument/2006/relationships/sharedStrings" Target="/xl/sharedStrings.xml" Id="R84ea2c5666724da8" /><Relationship Type="http://schemas.openxmlformats.org/officeDocument/2006/relationships/worksheet" Target="/xl/worksheets/sheet1.xml" Id="R9d8d8217e2894bc1" /><Relationship Type="http://schemas.openxmlformats.org/officeDocument/2006/relationships/worksheet" Target="/xl/worksheets/sheet2.xml" Id="R3fd43422cfb8427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15" hidden="0" customWidth="1"/>
    <x:col min="3" max="3" width="32" hidden="0" customWidth="1"/>
    <x:col min="4" max="4" width="3" hidden="0" customWidth="1"/>
    <x:col min="5" max="5" width="28" hidden="0" customWidth="1"/>
    <x:col min="6" max="6" width="20" hidden="0" customWidth="1"/>
    <x:col min="7" max="7" width="27" hidden="0" customWidth="1"/>
    <x:col min="8" max="8" width="12" hidden="0" customWidth="1"/>
  </x:cols>
  <x:sheetData>
    <x:row r="1" ht="30" customHeight="1">
      <x:c r="A1" s="43" t="str">
        <x:v>公积金反推收入与用工成本计算器（修正版）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</x:row>
    <x:row r="3">
      <x:c r="A3" s="56" t="str">
        <x:v>输入参数（蓝字可修改）</x:v>
      </x:c>
      <x:c r="B3" s="56"/>
      <x:c r="C3" s="56"/>
      <x:c r="D3"/>
      <x:c r="E3" s="56" t="str">
        <x:v>反推结果与适用状态</x:v>
      </x:c>
      <x:c r="F3" s="56"/>
      <x:c r="G3" s="56"/>
      <x:c r="H3" s="56"/>
    </x:row>
    <x:row r="4">
      <x:c r="A4" s="263" t="str">
        <x:v>双边公积金实缴额</x:v>
      </x:c>
      <x:c r="B4" s="209" t="n">
        <x:v>5400</x:v>
      </x:c>
      <x:c r="C4" s="245" t="str">
        <x:v>元/月</x:v>
      </x:c>
      <x:c r="D4"/>
      <x:c r="E4" s="263" t="str">
        <x:v>原始反推公积金基数</x:v>
      </x:c>
      <x:c r="F4" s="228" t="n">
        <x:f>IFERROR($B$4/($B$5+$B$6),0)</x:f>
        <x:v>22500</x:v>
      </x:c>
      <x:c r="G4" s="391"/>
      <x:c r="H4" s="392"/>
    </x:row>
    <x:row r="5" ht="25" customHeight="1">
      <x:c r="A5" s="231" t="str">
        <x:v>个人公积金缴存比例</x:v>
      </x:c>
      <x:c r="B5" s="190" t="n">
        <x:v>0.12</x:v>
      </x:c>
      <x:c r="C5" s="214" t="str">
        <x:v>比例</x:v>
      </x:c>
      <x:c r="E5" s="231" t="str">
        <x:v>反推状态</x:v>
      </x:c>
      <x:c r="F5" s="121" t="str">
        <x:f>IF($B$5+$B$6&lt;=0,"比例错误",IF(F4&gt;$B$8+0.01,"输入不一致：反推基数高于上限",IF(ABS(F4-$B$8)&lt;=0.01,"达到上限：仅能判断工资不低于上限",IF(F4&lt;$B$7-0.01,"达到下限或输入异常：无法精确反推","区间内：可近似反推缴存基数"))))</x:f>
        <x:v>区间内：可近似反推缴存基数</x:v>
      </x:c>
      <x:c r="G5" s="121"/>
      <x:c r="H5" s="393"/>
    </x:row>
    <x:row r="6">
      <x:c r="A6" s="231" t="str">
        <x:v>单位公积金缴存比例</x:v>
      </x:c>
      <x:c r="B6" s="190" t="n">
        <x:v>0.12</x:v>
      </x:c>
      <x:c r="C6" s="214" t="str">
        <x:v>比例</x:v>
      </x:c>
      <x:c r="E6" s="231" t="str">
        <x:v>公积金缴存基数</x:v>
      </x:c>
      <x:c r="F6" s="194" t="n">
        <x:f>MAX($B$7,MIN(F4,$B$8))</x:f>
        <x:v>22500</x:v>
      </x:c>
      <x:c r="G6" s="121"/>
      <x:c r="H6" s="393"/>
    </x:row>
    <x:row r="7" ht="25" customHeight="1">
      <x:c r="A7" s="231" t="str">
        <x:v>公积金基数下限</x:v>
      </x:c>
      <x:c r="B7" s="188" t="n">
        <x:v>2500</x:v>
      </x:c>
      <x:c r="C7" s="214" t="str">
        <x:v>元/月；按缴存年度更新</x:v>
      </x:c>
      <x:c r="E7" s="231" t="str">
        <x:v>估算来源</x:v>
      </x:c>
      <x:c r="F7" s="121" t="str">
        <x:f>IF($B$17&gt;0,"使用手工输入的当前月税前工资","使用公积金缴存基数反推值")</x:f>
        <x:v>使用公积金缴存基数反推值</x:v>
      </x:c>
      <x:c r="G7" s="121"/>
      <x:c r="H7" s="393"/>
    </x:row>
    <x:row r="8">
      <x:c r="A8" s="231" t="str">
        <x:v>公积金基数上限</x:v>
      </x:c>
      <x:c r="B8" s="188" t="n">
        <x:v>41112</x:v>
      </x:c>
      <x:c r="C8" s="214" t="str">
        <x:v>元/月；按缴存年度更新</x:v>
      </x:c>
      <x:c r="E8" s="231" t="str">
        <x:v>用于估算的月工资</x:v>
      </x:c>
      <x:c r="F8" s="194" t="n">
        <x:f>IF($B$17&gt;0,$B$17,F6)</x:f>
        <x:v>22500</x:v>
      </x:c>
      <x:c r="G8" s="121"/>
      <x:c r="H8" s="393"/>
    </x:row>
    <x:row r="9">
      <x:c r="A9" s="231" t="str">
        <x:v>个人社保综合比例（估算）</x:v>
      </x:c>
      <x:c r="B9" s="190" t="n">
        <x:v>0.1</x:v>
      </x:c>
      <x:c r="C9" s="214" t="str">
        <x:v>简化口径</x:v>
      </x:c>
      <x:c r="E9" s="231" t="str">
        <x:v>社保缴费基数（综合估算）</x:v>
      </x:c>
      <x:c r="F9" s="194" t="n">
        <x:f>MAX($B$11,MIN(F8,$B$12))</x:f>
        <x:v>22500</x:v>
      </x:c>
      <x:c r="G9" s="121"/>
      <x:c r="H9" s="393"/>
    </x:row>
    <x:row r="10" ht="42" customHeight="1">
      <x:c r="A10" s="231" t="str">
        <x:v>单位社保综合比例（估算）</x:v>
      </x:c>
      <x:c r="B10" s="190" t="n">
        <x:v>0.25</x:v>
      </x:c>
      <x:c r="C10" s="214" t="str">
        <x:v>简化口径</x:v>
      </x:c>
      <x:c r="E10" s="234" t="str">
        <x:v>口径提示</x:v>
      </x:c>
      <x:c r="F10" s="236" t="str">
        <x:v>公积金反推值通常对应缴存基数；达到上下限时只能得到边界，不能精确确定实际工资。</x:v>
      </x:c>
      <x:c r="G10" s="236"/>
      <x:c r="H10" s="217"/>
    </x:row>
    <x:row r="11">
      <x:c r="A11" s="231" t="str">
        <x:v>社保基数下限（独立输入）</x:v>
      </x:c>
      <x:c r="B11" s="188" t="n">
        <x:v>2500</x:v>
      </x:c>
      <x:c r="C11" s="214" t="str">
        <x:v>不得直接引用公积金下限</x:v>
      </x:c>
      <x:c r="F11"/>
    </x:row>
    <x:row r="12">
      <x:c r="A12" s="231" t="str">
        <x:v>社保基数上限（独立输入）</x:v>
      </x:c>
      <x:c r="B12" s="188" t="n">
        <x:v>41112</x:v>
      </x:c>
      <x:c r="C12" s="214" t="str">
        <x:v>不得直接引用公积金上限</x:v>
      </x:c>
      <x:c r="F12"/>
    </x:row>
    <x:row r="13">
      <x:c r="A13" s="231" t="str">
        <x:v>专项附加扣除</x:v>
      </x:c>
      <x:c r="B13" s="188" t="n">
        <x:v>0</x:v>
      </x:c>
      <x:c r="C13" s="214" t="str">
        <x:v>元/月</x:v>
      </x:c>
      <x:c r="F13"/>
    </x:row>
    <x:row r="14">
      <x:c r="A14" s="231" t="str">
        <x:v>其他税前扣除</x:v>
      </x:c>
      <x:c r="B14" s="188" t="n">
        <x:v>0</x:v>
      </x:c>
      <x:c r="C14" s="214" t="str">
        <x:v>元/月</x:v>
      </x:c>
    </x:row>
    <x:row r="15">
      <x:c r="A15" s="231" t="str">
        <x:v>其他单位福利成本</x:v>
      </x:c>
      <x:c r="B15" s="188" t="n">
        <x:v>0</x:v>
      </x:c>
      <x:c r="C15" s="214" t="str">
        <x:v>元/月；食堂、企业年金等</x:v>
      </x:c>
    </x:row>
    <x:row r="16">
      <x:c r="A16" s="231" t="str">
        <x:v>计算月数</x:v>
      </x:c>
      <x:c r="B16" s="192" t="n">
        <x:v>12</x:v>
      </x:c>
      <x:c r="C16" s="214" t="str">
        <x:v>月</x:v>
      </x:c>
    </x:row>
    <x:row r="17">
      <x:c r="A17" s="234" t="str">
        <x:v>当前月税前工资（可选）</x:v>
      </x:c>
      <x:c r="B17" s="216" t="n">
        <x:v>0</x:v>
      </x:c>
      <x:c r="C17" s="217" t="str">
        <x:v>0 表示使用公积金反推值</x:v>
      </x:c>
    </x:row>
    <x:row r="18">
      <x:c r="A18"/>
    </x:row>
    <x:row r="19">
      <x:c r="A19"/>
    </x:row>
    <x:row r="20">
      <x:c r="A20" s="56" t="str">
        <x:v>月度结果</x:v>
      </x:c>
      <x:c r="B20" s="56"/>
      <x:c r="C20" s="56"/>
      <x:c r="E20" s="56" t="str">
        <x:v>年度结果（不同经济口径分开展示）</x:v>
      </x:c>
      <x:c r="F20" s="56"/>
      <x:c r="G20" s="56"/>
      <x:c r="H20" s="56"/>
    </x:row>
    <x:row r="21">
      <x:c r="A21" s="263" t="str">
        <x:v>税前月工资（估算口径）</x:v>
      </x:c>
      <x:c r="B21" s="228" t="n">
        <x:f>$F$8</x:f>
        <x:v>22500</x:v>
      </x:c>
      <x:c r="C21" s="245" t="str">
        <x:v>元/月</x:v>
      </x:c>
      <x:c r="E21" s="263" t="str">
        <x:v>年度税前现金工资</x:v>
      </x:c>
      <x:c r="F21" s="228" t="n">
        <x:f>B21*$B$16</x:f>
        <x:v>270000</x:v>
      </x:c>
      <x:c r="G21" s="245" t="str">
        <x:v>元/年</x:v>
      </x:c>
    </x:row>
    <x:row r="22">
      <x:c r="A22" s="231" t="str">
        <x:v>个人公积金</x:v>
      </x:c>
      <x:c r="B22" s="194" t="n">
        <x:f>$F$6*$B$5</x:f>
        <x:v>2700</x:v>
      </x:c>
      <x:c r="C22" s="214" t="str">
        <x:v>元/月；进入个人公积金账户</x:v>
      </x:c>
      <x:c r="E22" s="231" t="str">
        <x:v>年度现金到手</x:v>
      </x:c>
      <x:c r="F22" s="194" t="n">
        <x:f>B30*$B$16</x:f>
        <x:v>197400</x:v>
      </x:c>
      <x:c r="G22" s="214" t="str">
        <x:v>元/年；现金口径</x:v>
      </x:c>
    </x:row>
    <x:row r="23">
      <x:c r="A23" s="231" t="str">
        <x:v>单位公积金</x:v>
      </x:c>
      <x:c r="B23" s="194" t="n">
        <x:f>$F$6*$B$6</x:f>
        <x:v>2700</x:v>
      </x:c>
      <x:c r="C23" s="214" t="str">
        <x:v>元/月；进入个人公积金账户</x:v>
      </x:c>
      <x:c r="D23"/>
      <x:c r="E23" s="231" t="str">
        <x:v>年度公积金账户新增</x:v>
      </x:c>
      <x:c r="F23" s="194" t="n">
        <x:f>(B22+B23)*$B$16</x:f>
        <x:v>64800</x:v>
      </x:c>
      <x:c r="G23" s="214" t="str">
        <x:v>元/年；个人账户资产新增</x:v>
      </x:c>
    </x:row>
    <x:row r="24">
      <x:c r="A24" s="231" t="str">
        <x:v>个人社保缴费（综合估算）</x:v>
      </x:c>
      <x:c r="B24" s="194" t="n">
        <x:f>$F$9*$B$9</x:f>
        <x:v>2250</x:v>
      </x:c>
      <x:c r="C24" s="214" t="str">
        <x:v>元/月；不等同于个人资产</x:v>
      </x:c>
      <x:c r="D24"/>
      <x:c r="E24" s="231" t="str">
        <x:v>年度现金及公积金权益</x:v>
      </x:c>
      <x:c r="F24" s="194" t="n">
        <x:f>B31*$B$16</x:f>
        <x:v>262200</x:v>
      </x:c>
      <x:c r="G24" s="214" t="str">
        <x:v>元/年；现金＋公积金权益</x:v>
      </x:c>
    </x:row>
    <x:row r="25">
      <x:c r="A25" s="231" t="str">
        <x:v>单位社保缴费（综合估算）</x:v>
      </x:c>
      <x:c r="B25" s="194" t="n">
        <x:f>$F$9*$B$10</x:f>
        <x:v>5625</x:v>
      </x:c>
      <x:c r="C25" s="214" t="str">
        <x:v>元/月；主要形成社保统筹权益</x:v>
      </x:c>
      <x:c r="D25"/>
      <x:c r="E25" s="231" t="str">
        <x:v>年度个人社保缴费</x:v>
      </x:c>
      <x:c r="F25" s="194" t="n">
        <x:f>B24*$B$16</x:f>
        <x:v>27000</x:v>
      </x:c>
      <x:c r="G25" s="214" t="str">
        <x:v>元/年；单独披露</x:v>
      </x:c>
    </x:row>
    <x:row r="26">
      <x:c r="A26" s="231" t="str">
        <x:v>月应纳税所得额（年均口径）</x:v>
      </x:c>
      <x:c r="B26" s="389" t="n">
        <x:f>MAX(0,B21-B22-B24-'参数说明'!$B$4-$B$13-$B$14)</x:f>
        <x:v>12550</x:v>
      </x:c>
      <x:c r="C26" s="214" t="str">
        <x:v>元/月</x:v>
      </x:c>
      <x:c r="D26"/>
      <x:c r="E26" s="231" t="str">
        <x:v>年度单位社保缴费</x:v>
      </x:c>
      <x:c r="F26" s="194" t="n">
        <x:f>B25*$B$16</x:f>
        <x:v>67500</x:v>
      </x:c>
      <x:c r="G26" s="214" t="str">
        <x:v>元/年；不作为个人收入</x:v>
      </x:c>
    </x:row>
    <x:row r="27">
      <x:c r="A27" s="231" t="str">
        <x:v>预计全年应纳税所得额</x:v>
      </x:c>
      <x:c r="B27" s="389" t="n">
        <x:f>B26*$B$16</x:f>
        <x:v>150600</x:v>
      </x:c>
      <x:c r="C27" s="214" t="str">
        <x:v>元/年</x:v>
      </x:c>
      <x:c r="D27"/>
      <x:c r="E27" s="231" t="str">
        <x:v>年度五险一金缴费总额</x:v>
      </x:c>
      <x:c r="F27" s="194" t="n">
        <x:f>(B22+B23+B24+B25)*$B$16</x:f>
        <x:v>159300</x:v>
      </x:c>
      <x:c r="G27" s="214" t="str">
        <x:v>元/年；仅表示缴费总额</x:v>
      </x:c>
    </x:row>
    <x:row r="28">
      <x:c r="A28" s="231" t="str">
        <x:v>预计全年个税</x:v>
      </x:c>
      <x:c r="B28" s="389" t="n">
        <x:f>IF(B27&lt;=0,0,B27*INDEX('参数说明'!$B$7:$B$13,MATCH(B27,'参数说明'!$A$7:$A$13,1))-INDEX('参数说明'!$C$7:$C$13,MATCH(B27,'参数说明'!$A$7:$A$13,1)))</x:f>
        <x:v>13200</x:v>
      </x:c>
      <x:c r="C28" s="214" t="str">
        <x:v>元/年</x:v>
      </x:c>
      <x:c r="D28"/>
      <x:c r="E28" s="231" t="str">
        <x:v>年度单位用工成本</x:v>
      </x:c>
      <x:c r="F28" s="194" t="n">
        <x:f>B32*$B$16</x:f>
        <x:v>369900</x:v>
      </x:c>
      <x:c r="G28" s="214" t="str">
        <x:v>元/年；单位成本口径</x:v>
      </x:c>
    </x:row>
    <x:row r="29">
      <x:c r="A29" s="231" t="str">
        <x:v>预计月均个税</x:v>
      </x:c>
      <x:c r="B29" s="194" t="n">
        <x:f>IF($B$16&lt;=0,0,B28/$B$16)</x:f>
        <x:v>1100</x:v>
      </x:c>
      <x:c r="C29" s="214" t="str">
        <x:v>元/月；全年平均值</x:v>
      </x:c>
      <x:c r="D29"/>
      <x:c r="E29" s="231" t="str">
        <x:v>年度其他单位福利成本</x:v>
      </x:c>
      <x:c r="F29" s="194" t="n">
        <x:f>$B$15*$B$16</x:f>
        <x:v>0</x:v>
      </x:c>
      <x:c r="G29" s="214" t="str">
        <x:v>元/年</x:v>
      </x:c>
    </x:row>
    <x:row r="30">
      <x:c r="A30" s="231" t="str">
        <x:v>月现金到手</x:v>
      </x:c>
      <x:c r="B30" s="194" t="n">
        <x:f>B21-B22-B24-B29</x:f>
        <x:v>16450</x:v>
      </x:c>
      <x:c r="C30" s="214" t="str">
        <x:v>元/月；可支配现金</x:v>
      </x:c>
      <x:c r="D30"/>
      <x:c r="E30" s="234" t="str">
        <x:v>年度个人所得税</x:v>
      </x:c>
      <x:c r="F30" s="264" t="n">
        <x:f>B28</x:f>
        <x:v>13200</x:v>
      </x:c>
      <x:c r="G30" s="217" t="str">
        <x:v>元/年</x:v>
      </x:c>
    </x:row>
    <x:row r="31">
      <x:c r="A31" s="231" t="str">
        <x:v>月现金及公积金权益</x:v>
      </x:c>
      <x:c r="B31" s="194" t="n">
        <x:f>B30+B22+B23</x:f>
        <x:v>21850</x:v>
      </x:c>
      <x:c r="C31" s="214" t="str">
        <x:v>元/月；含流动性受限的公积金</x:v>
      </x:c>
      <x:c r="D31"/>
    </x:row>
    <x:row r="32">
      <x:c r="A32" s="234" t="str">
        <x:v>单位月用工成本</x:v>
      </x:c>
      <x:c r="B32" s="264" t="n">
        <x:f>B21+B23+B25+$B$15</x:f>
        <x:v>30825</x:v>
      </x:c>
      <x:c r="C32" s="217" t="str">
        <x:v>元/月；不扣个人所得税</x:v>
      </x:c>
      <x:c r="D32"/>
    </x:row>
    <x:row r="35">
      <x:c r="A35" s="56" t="str">
        <x:v>口径说明</x:v>
      </x:c>
      <x:c r="B35" s="56"/>
      <x:c r="C35" s="56"/>
      <x:c r="D35" s="56"/>
      <x:c r="E35" s="56"/>
      <x:c r="F35" s="56"/>
      <x:c r="G35" s="56"/>
      <x:c r="H35" s="56"/>
    </x:row>
    <x:row r="36" ht="30" customHeight="1">
      <x:c r="A36" s="267" t="str">
        <x:v>1</x:v>
      </x:c>
      <x:c r="B36" s="268" t="str">
        <x:v>公积金反推的是缴存基数，通常反映上一年度月平均工资口径，不必然等于当前月工资。</x:v>
      </x:c>
      <x:c r="C36" s="268"/>
      <x:c r="D36" s="268"/>
      <x:c r="E36" s="268"/>
      <x:c r="F36" s="268"/>
      <x:c r="G36" s="268"/>
      <x:c r="H36" s="245"/>
    </x:row>
    <x:row r="37" ht="30" customHeight="1">
      <x:c r="A37" s="269" t="str">
        <x:v>2</x:v>
      </x:c>
      <x:c r="B37" s="100" t="str">
        <x:v>反推值触及缴存上下限时，只能判断工资的边界；表中“用于估算的月工资”属于边界或近似值。</x:v>
      </x:c>
      <x:c r="C37" s="100"/>
      <x:c r="D37" s="100"/>
      <x:c r="E37" s="100"/>
      <x:c r="F37" s="100"/>
      <x:c r="G37" s="100"/>
      <x:c r="H37" s="214"/>
    </x:row>
    <x:row r="38" ht="30" customHeight="1">
      <x:c r="A38" s="269" t="str">
        <x:v>3</x:v>
      </x:c>
      <x:c r="B38" s="100" t="str">
        <x:v>社保部分采用综合比例简化估算，社保上下限已与公积金上下限分离；精确核算时应按险种分别设置。</x:v>
      </x:c>
      <x:c r="C38" s="100"/>
      <x:c r="D38" s="100"/>
      <x:c r="E38" s="100"/>
      <x:c r="F38" s="100"/>
      <x:c r="G38" s="100"/>
      <x:c r="H38" s="214"/>
    </x:row>
    <x:row r="39" ht="30" customHeight="1">
      <x:c r="A39" s="269" t="str">
        <x:v>4</x:v>
      </x:c>
      <x:c r="B39" s="100" t="str">
        <x:v>现金到手、公积金个人账户新增、社保缴费和单位用工成本分别展示，不再使用“一年实际获得”这一混合概念。</x:v>
      </x:c>
      <x:c r="C39" s="100"/>
      <x:c r="D39" s="100"/>
      <x:c r="E39" s="100"/>
      <x:c r="F39" s="100"/>
      <x:c r="G39" s="100"/>
      <x:c r="H39" s="214"/>
    </x:row>
    <x:row r="40" ht="30" customHeight="1">
      <x:c r="A40" s="270" t="str">
        <x:v>5</x:v>
      </x:c>
      <x:c r="B40" s="236" t="str">
        <x:v>个税按全年综合所得估算；“预计月均个税”是全年税额的平均值，不代表每月实际预扣金额。</x:v>
      </x:c>
      <x:c r="C40" s="236"/>
      <x:c r="D40" s="236"/>
      <x:c r="E40" s="236"/>
      <x:c r="F40" s="236"/>
      <x:c r="G40" s="236"/>
      <x:c r="H40" s="217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</x:sheetData>
  <x:mergeCells>
    <x:mergeCell ref="A1:H1"/>
    <x:mergeCell ref="A3:C3"/>
    <x:mergeCell ref="E3:H3"/>
    <x:mergeCell ref="F5:H5"/>
    <x:mergeCell ref="F7:H7"/>
    <x:mergeCell ref="F10:H10"/>
    <x:mergeCell ref="A20:C20"/>
    <x:mergeCell ref="E20:H20"/>
    <x:mergeCell ref="A35:H35"/>
    <x:mergeCell ref="B36:H36"/>
    <x:mergeCell ref="B37:H37"/>
    <x:mergeCell ref="B38:H38"/>
    <x:mergeCell ref="B39:H39"/>
    <x:mergeCell ref="B40:H40"/>
  </x:mergeCells>
  <x:conditionalFormatting sqref="F5:H5">
    <x:cfRule type="expression" dxfId="0" priority="1">
      <x:formula>ISNUMBER(SEARCH("区间内",$F$5))</x:formula>
    </x:cfRule>
    <x:cfRule type="expression" dxfId="1" priority="2">
      <x:formula>ISNUMBER(SEARCH("上限",$F$5))</x:formula>
    </x:cfRule>
    <x:cfRule type="expression" dxfId="2" priority="3">
      <x:formula>OR(ISNUMBER(SEARCH("不一致",$F$5)),ISNUMBER(SEARCH("错误",$F$5)),ISNUMBER(SEARCH("异常",$F$5)))</x:formula>
    </x:cfRule>
    <x:cfRule type="expression" dxfId="3" priority="4">
      <x:formula>ISNUMBER(SEARCH("区间内",$F$5))</x:formula>
    </x:cfRule>
    <x:cfRule type="expression" dxfId="4" priority="5">
      <x:formula>ISNUMBER(SEARCH("上限",$F$5))</x:formula>
    </x:cfRule>
    <x:cfRule type="expression" dxfId="5" priority="6">
      <x:formula>OR(ISNUMBER(SEARCH("不一致",$F$5)),ISNUMBER(SEARCH("错误",$F$5)),ISNUMBER(SEARCH("异常",$F$5)))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34" hidden="0" customWidth="1"/>
    <x:col min="5" max="5" width="56" hidden="0" customWidth="1"/>
  </x:cols>
  <x:sheetData>
    <x:row r="1" ht="30" customHeight="1">
      <x:c r="A1" s="43" t="str">
        <x:v>参数、税率表与来源</x:v>
      </x:c>
      <x:c r="B1" s="43"/>
      <x:c r="C1" s="43"/>
      <x:c r="D1" s="43"/>
      <x:c r="E1" s="43"/>
    </x:row>
    <x:row r="3">
      <x:c r="A3" s="56" t="str">
        <x:v>参数名称</x:v>
      </x:c>
      <x:c r="B3" s="56" t="str">
        <x:v>数值</x:v>
      </x:c>
      <x:c r="C3" s="56" t="str">
        <x:v>单位</x:v>
      </x:c>
      <x:c r="D3" s="56" t="str">
        <x:v>说明</x:v>
      </x:c>
      <x:c r="E3" s="56" t="str">
        <x:v>来源</x:v>
      </x:c>
    </x:row>
    <x:row r="4">
      <x:c r="A4" s="275" t="str">
        <x:v>基本减除费用（月）</x:v>
      </x:c>
      <x:c r="B4" s="295" t="n">
        <x:v>5000</x:v>
      </x:c>
      <x:c r="C4" s="276" t="str">
        <x:v>元/月</x:v>
      </x:c>
      <x:c r="D4" s="325" t="str">
        <x:v>用于居民个人综合所得年度估算</x:v>
      </x:c>
      <x:c r="E4" s="326" t="str">
        <x:v>https://guangdong.chinatax.gov.cn/gdsw/fssw_nsrxt_kjxz/2025-10/09/content_b02be06c906e46bca00673beb9e7783a.shtml</x:v>
      </x:c>
    </x:row>
    <x:row r="5">
      <x:c r="A5" s="56" t="str">
        <x:v>综合所得个人所得税年度税率表</x:v>
      </x:c>
      <x:c r="B5" s="56"/>
      <x:c r="C5" s="56"/>
      <x:c r="D5" s="327"/>
      <x:c r="E5" s="327"/>
    </x:row>
    <x:row r="6">
      <x:c r="A6" s="360" t="str">
        <x:v>全年应纳税所得额下限</x:v>
      </x:c>
      <x:c r="B6" s="361" t="str">
        <x:v>税率</x:v>
      </x:c>
      <x:c r="C6" s="362" t="str">
        <x:v>速算扣除数</x:v>
      </x:c>
      <x:c r="D6" s="363" t="str">
        <x:v>适用区间</x:v>
      </x:c>
      <x:c r="E6" s="364" t="str">
        <x:v>来源</x:v>
      </x:c>
    </x:row>
    <x:row r="7">
      <x:c r="A7" s="297" t="n">
        <x:v>0</x:v>
      </x:c>
      <x:c r="B7" s="303" t="n">
        <x:v>0.03</x:v>
      </x:c>
      <x:c r="C7" s="309" t="n">
        <x:v>0</x:v>
      </x:c>
      <x:c r="D7" s="329" t="str">
        <x:v>不超过 36,000 元</x:v>
      </x:c>
      <x:c r="E7" s="330" t="str">
        <x:v>https://guangdong.chinatax.gov.cn/gdsw/fssw_nsrxt_kjxz/2025-10/09/content_b02be06c906e46bca00673beb9e7783a.shtml</x:v>
      </x:c>
    </x:row>
    <x:row r="8">
      <x:c r="A8" s="298" t="n">
        <x:v>36000</x:v>
      </x:c>
      <x:c r="B8" s="304" t="n">
        <x:v>0.1</x:v>
      </x:c>
      <x:c r="C8" s="310" t="n">
        <x:v>2520</x:v>
      </x:c>
      <x:c r="D8" s="331" t="str">
        <x:v>超过 36,000 元至 144,000 元</x:v>
      </x:c>
      <x:c r="E8" s="332" t="str">
        <x:v>同上</x:v>
      </x:c>
    </x:row>
    <x:row r="9">
      <x:c r="A9" s="298" t="n">
        <x:v>144000</x:v>
      </x:c>
      <x:c r="B9" s="304" t="n">
        <x:v>0.2</x:v>
      </x:c>
      <x:c r="C9" s="310" t="n">
        <x:v>16920</x:v>
      </x:c>
      <x:c r="D9" s="331" t="str">
        <x:v>超过 144,000 元至 300,000 元</x:v>
      </x:c>
      <x:c r="E9" s="332" t="str">
        <x:v>同上</x:v>
      </x:c>
    </x:row>
    <x:row r="10">
      <x:c r="A10" s="298" t="n">
        <x:v>300000</x:v>
      </x:c>
      <x:c r="B10" s="304" t="n">
        <x:v>0.25</x:v>
      </x:c>
      <x:c r="C10" s="310" t="n">
        <x:v>31920</x:v>
      </x:c>
      <x:c r="D10" s="331" t="str">
        <x:v>超过 300,000 元至 420,000 元</x:v>
      </x:c>
      <x:c r="E10" s="332" t="str">
        <x:v>同上</x:v>
      </x:c>
    </x:row>
    <x:row r="11">
      <x:c r="A11" s="298" t="n">
        <x:v>420000</x:v>
      </x:c>
      <x:c r="B11" s="304" t="n">
        <x:v>0.3</x:v>
      </x:c>
      <x:c r="C11" s="310" t="n">
        <x:v>52920</x:v>
      </x:c>
      <x:c r="D11" s="331" t="str">
        <x:v>超过 420,000 元至 660,000 元</x:v>
      </x:c>
      <x:c r="E11" s="332" t="str">
        <x:v>同上</x:v>
      </x:c>
    </x:row>
    <x:row r="12">
      <x:c r="A12" s="299" t="n">
        <x:v>660000</x:v>
      </x:c>
      <x:c r="B12" s="305" t="n">
        <x:v>0.35</x:v>
      </x:c>
      <x:c r="C12" s="311" t="n">
        <x:v>85920</x:v>
      </x:c>
      <x:c r="D12" s="333" t="str">
        <x:v>超过 660,000 元至 960,000 元</x:v>
      </x:c>
      <x:c r="E12" s="334" t="str">
        <x:v>同上</x:v>
      </x:c>
    </x:row>
    <x:row r="13">
      <x:c r="A13" s="299" t="n">
        <x:v>960000</x:v>
      </x:c>
      <x:c r="B13" s="305" t="n">
        <x:v>0.45</x:v>
      </x:c>
      <x:c r="C13" s="311" t="n">
        <x:v>181920</x:v>
      </x:c>
      <x:c r="D13" s="333" t="str">
        <x:v>超过 960,000 元</x:v>
      </x:c>
      <x:c r="E13" s="334" t="str">
        <x:v>同上</x:v>
      </x:c>
    </x:row>
    <x:row r="14">
      <x:c r="A14" s="100"/>
      <x:c r="B14" s="100"/>
      <x:c r="C14" s="100"/>
      <x:c r="D14" s="100"/>
      <x:c r="E14" s="100"/>
    </x:row>
    <x:row r="15">
      <x:c r="A15" s="100" t="str">
        <x:v>维护提示</x:v>
      </x:c>
      <x:c r="B15" s="100"/>
      <x:c r="C15" s="100"/>
      <x:c r="D15" s="100" t="str">
        <x:v>公积金与社保基数上下限、缴费比例具有地区和年度差异，请在“计算器”输入区按实际政策更新。</x:v>
      </x:c>
      <x:c r="E15" s="100"/>
    </x:row>
  </x:sheetData>
  <x:mergeCells>
    <x:mergeCell ref="A1:E1"/>
    <x:mergeCell ref="A5:E5"/>
  </x:mergeCells>
  <x:pageMargins left="0.7" right="0.7" top="0.75" bottom="0.75" header="0.3" footer="0.3"/>
</x:worksheet>
</file>