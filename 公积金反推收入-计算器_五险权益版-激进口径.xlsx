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XGU\Desktop\"/>
    </mc:Choice>
  </mc:AlternateContent>
  <xr:revisionPtr revIDLastSave="0" documentId="13_ncr:1_{66065844-DAC6-4AF2-BF56-D55E0888F77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计算器" sheetId="1" r:id="rId1"/>
    <sheet name="参数说明" sheetId="2" r:id="rId2"/>
    <sheet name="五险权益-激进口径" sheetId="3" r:id="rId3"/>
  </sheets>
  <calcPr calcId="191029"/>
</workbook>
</file>

<file path=xl/calcChain.xml><?xml version="1.0" encoding="utf-8"?>
<calcChain xmlns="http://schemas.openxmlformats.org/spreadsheetml/2006/main">
  <c r="E23" i="3" l="1"/>
  <c r="E22" i="3"/>
  <c r="E21" i="3"/>
  <c r="E20" i="3"/>
  <c r="E24" i="3" s="1"/>
  <c r="H23" i="3" s="1"/>
  <c r="G9" i="3"/>
  <c r="G8" i="3"/>
  <c r="G7" i="3"/>
  <c r="F29" i="1"/>
  <c r="F7" i="1"/>
  <c r="F4" i="1"/>
  <c r="F5" i="1" s="1"/>
  <c r="F6" i="1" l="1"/>
  <c r="B23" i="1" s="1"/>
  <c r="B22" i="1" l="1"/>
  <c r="F23" i="1" s="1"/>
  <c r="F8" i="1"/>
  <c r="B21" i="1" l="1"/>
  <c r="F21" i="1" s="1"/>
  <c r="G4" i="3" s="1"/>
  <c r="G10" i="3" s="1"/>
  <c r="G11" i="3" s="1"/>
  <c r="G12" i="3" s="1"/>
  <c r="G13" i="3" s="1"/>
  <c r="G14" i="3" s="1"/>
  <c r="H22" i="3" s="1"/>
  <c r="F9" i="1"/>
  <c r="G5" i="3" l="1"/>
  <c r="B25" i="1"/>
  <c r="F26" i="1" s="1"/>
  <c r="B24" i="1"/>
  <c r="B32" i="1" l="1"/>
  <c r="F28" i="1" s="1"/>
  <c r="H28" i="3" s="1"/>
  <c r="F27" i="1"/>
  <c r="B26" i="1"/>
  <c r="B27" i="1" s="1"/>
  <c r="B28" i="1" s="1"/>
  <c r="F25" i="1"/>
  <c r="G16" i="3"/>
  <c r="H21" i="3" s="1"/>
  <c r="G15" i="3"/>
  <c r="H20" i="3" s="1"/>
  <c r="H24" i="3" s="1"/>
  <c r="F32" i="1" s="1"/>
  <c r="F30" i="1" l="1"/>
  <c r="B29" i="1"/>
  <c r="B30" i="1" s="1"/>
  <c r="F22" i="1" l="1"/>
  <c r="B31" i="1"/>
  <c r="F24" i="1" s="1"/>
  <c r="G6" i="3" s="1"/>
  <c r="H19" i="3" s="1"/>
  <c r="H25" i="3" s="1"/>
  <c r="H27" i="3" l="1"/>
  <c r="H29" i="3"/>
  <c r="H26" i="3"/>
  <c r="F34" i="1" s="1"/>
  <c r="F33" i="1"/>
</calcChain>
</file>

<file path=xl/sharedStrings.xml><?xml version="1.0" encoding="utf-8"?>
<sst xmlns="http://schemas.openxmlformats.org/spreadsheetml/2006/main" count="239" uniqueCount="175">
  <si>
    <t>公积金反推收入与用工成本计算器（修正版）</t>
  </si>
  <si>
    <t>输入参数（蓝字可修改）</t>
  </si>
  <si>
    <t>反推结果与适用状态</t>
  </si>
  <si>
    <t>双边公积金实缴额</t>
  </si>
  <si>
    <t>元/月</t>
  </si>
  <si>
    <t>原始反推公积金基数</t>
  </si>
  <si>
    <t>个人公积金缴存比例</t>
  </si>
  <si>
    <t>比例</t>
  </si>
  <si>
    <t>反推状态</t>
  </si>
  <si>
    <t>单位公积金缴存比例</t>
  </si>
  <si>
    <t>公积金缴存基数</t>
  </si>
  <si>
    <t>公积金基数下限</t>
  </si>
  <si>
    <t>元/月；按缴存年度更新</t>
  </si>
  <si>
    <t>估算来源</t>
  </si>
  <si>
    <t>公积金基数上限</t>
  </si>
  <si>
    <t>用于估算的月工资</t>
  </si>
  <si>
    <t>个人社保综合比例（估算）</t>
  </si>
  <si>
    <t>简化口径</t>
  </si>
  <si>
    <t>社保缴费基数（综合估算）</t>
  </si>
  <si>
    <t>单位社保综合比例（估算）</t>
  </si>
  <si>
    <t>口径提示</t>
  </si>
  <si>
    <t>公积金反推值通常对应缴存基数；达到上下限时只能得到边界，不能精确确定实际工资。</t>
  </si>
  <si>
    <t>社保基数下限（独立输入）</t>
  </si>
  <si>
    <t>不得直接引用公积金下限</t>
  </si>
  <si>
    <t>社保基数上限（独立输入）</t>
  </si>
  <si>
    <t>不得直接引用公积金上限</t>
  </si>
  <si>
    <t>专项附加扣除</t>
  </si>
  <si>
    <t>其他税前扣除</t>
  </si>
  <si>
    <t>其他单位福利成本</t>
  </si>
  <si>
    <t>元/月；食堂、企业年金等</t>
  </si>
  <si>
    <t>计算月数</t>
  </si>
  <si>
    <t>月</t>
  </si>
  <si>
    <t>当前月税前工资（可选）</t>
  </si>
  <si>
    <t>0 表示使用公积金反推值</t>
  </si>
  <si>
    <t>月度结果</t>
  </si>
  <si>
    <t>年度结果（不同经济口径分开展示）</t>
  </si>
  <si>
    <t>税前月工资（估算口径）</t>
  </si>
  <si>
    <t>年度税前现金工资</t>
  </si>
  <si>
    <t>元/年</t>
  </si>
  <si>
    <t>个人公积金</t>
  </si>
  <si>
    <t>元/月；进入个人公积金账户</t>
  </si>
  <si>
    <t>年度现金到手</t>
  </si>
  <si>
    <t>元/年；现金口径</t>
  </si>
  <si>
    <t>单位公积金</t>
  </si>
  <si>
    <t>年度公积金账户新增</t>
  </si>
  <si>
    <t>元/年；个人账户资产新增</t>
  </si>
  <si>
    <t>个人社保缴费（综合估算）</t>
  </si>
  <si>
    <t>元/月；不等同于个人资产</t>
  </si>
  <si>
    <t>年度现金及公积金权益</t>
  </si>
  <si>
    <t>元/年；现金＋公积金权益</t>
  </si>
  <si>
    <t>单位社保缴费（综合估算）</t>
  </si>
  <si>
    <t>元/月；主要形成社保统筹权益</t>
  </si>
  <si>
    <t>年度个人社保缴费</t>
  </si>
  <si>
    <t>元/年；单独披露</t>
  </si>
  <si>
    <t>月应纳税所得额（年均口径）</t>
  </si>
  <si>
    <t>年度单位社保缴费</t>
  </si>
  <si>
    <t>元/年；不作为个人收入</t>
  </si>
  <si>
    <t>预计全年应纳税所得额</t>
  </si>
  <si>
    <t>年度五险一金缴费总额</t>
  </si>
  <si>
    <t>元/年；仅表示缴费总额</t>
  </si>
  <si>
    <t>预计全年个税</t>
  </si>
  <si>
    <t>年度单位用工成本</t>
  </si>
  <si>
    <t>元/年；单位成本口径</t>
  </si>
  <si>
    <t>预计月均个税</t>
  </si>
  <si>
    <t>元/月；全年平均值</t>
  </si>
  <si>
    <t>年度其他单位福利成本</t>
  </si>
  <si>
    <t>月现金到手</t>
  </si>
  <si>
    <t>元/月；可支配现金</t>
  </si>
  <si>
    <t>年度个人所得税</t>
  </si>
  <si>
    <t>月现金及公积金权益</t>
  </si>
  <si>
    <t>元/月；含流动性受限的公积金</t>
  </si>
  <si>
    <t>激进口径综合权益（详见“五险权益-激进口径”）</t>
  </si>
  <si>
    <t>单位月用工成本</t>
  </si>
  <si>
    <t>元/月；不扣个人所得税</t>
  </si>
  <si>
    <t>年度五险权益估值</t>
  </si>
  <si>
    <t>元/年；概率期望＋养老金现值</t>
  </si>
  <si>
    <t>年度激进综合权益</t>
  </si>
  <si>
    <t>元/年；非可兑现收入</t>
  </si>
  <si>
    <t>月均激进综合权益</t>
  </si>
  <si>
    <t>元/月；仅作情景比较</t>
  </si>
  <si>
    <t>口径说明</t>
  </si>
  <si>
    <t>1</t>
  </si>
  <si>
    <t>公积金反推的是缴存基数，通常反映上一年度月平均工资口径，不必然等于当前月工资。</t>
  </si>
  <si>
    <t>2</t>
  </si>
  <si>
    <t>反推值触及缴存上下限时，只能判断工资的边界；表中“用于估算的月工资”属于边界或近似值。</t>
  </si>
  <si>
    <t>3</t>
  </si>
  <si>
    <t>社保部分采用综合比例简化估算，社保上下限已与公积金上下限分离；精确核算时应按险种分别设置。</t>
  </si>
  <si>
    <t>4</t>
  </si>
  <si>
    <t>现金到手、公积金个人账户新增、社保缴费和单位用工成本分别展示，不再使用“一年实际获得”这一混合概念。</t>
  </si>
  <si>
    <t>5</t>
  </si>
  <si>
    <t>个税按全年综合所得估算；“预计月均个税”是全年税额的平均值，不代表每月实际预扣金额。</t>
  </si>
  <si>
    <t>参数、税率表与来源</t>
  </si>
  <si>
    <t>参数名称</t>
  </si>
  <si>
    <t>数值</t>
  </si>
  <si>
    <t>单位</t>
  </si>
  <si>
    <t>说明</t>
  </si>
  <si>
    <t>来源</t>
  </si>
  <si>
    <t>基本减除费用（月）</t>
  </si>
  <si>
    <t>用于居民个人综合所得年度估算</t>
  </si>
  <si>
    <t>https://guangdong.chinatax.gov.cn/gdsw/fssw_nsrxt_kjxz/2025-10/09/content_b02be06c906e46bca00673beb9e7783a.shtml</t>
  </si>
  <si>
    <t>综合所得个人所得税年度税率表</t>
  </si>
  <si>
    <t>全年应纳税所得额下限</t>
  </si>
  <si>
    <t>税率</t>
  </si>
  <si>
    <t>速算扣除数</t>
  </si>
  <si>
    <t>适用区间</t>
  </si>
  <si>
    <t>不超过 36,000 元</t>
  </si>
  <si>
    <t>超过 36,000 元至 144,000 元</t>
  </si>
  <si>
    <t>同上</t>
  </si>
  <si>
    <t>超过 144,000 元至 300,000 元</t>
  </si>
  <si>
    <t>超过 300,000 元至 420,000 元</t>
  </si>
  <si>
    <t>超过 420,000 元至 660,000 元</t>
  </si>
  <si>
    <t>超过 660,000 元至 960,000 元</t>
  </si>
  <si>
    <t>超过 960,000 元</t>
  </si>
  <si>
    <t>维护提示</t>
  </si>
  <si>
    <t>公积金与社保基数上下限、缴费比例具有地区和年度差异，请在“计算器”输入区按实际政策更新。</t>
  </si>
  <si>
    <t>五险权益激进口径估值模型（概率期望值＋养老金现值）</t>
  </si>
  <si>
    <t>基础与养老假设（蓝字可修改）</t>
  </si>
  <si>
    <t>主计算器链接与养老金估值</t>
  </si>
  <si>
    <t>当前年龄</t>
  </si>
  <si>
    <t>岁</t>
  </si>
  <si>
    <t>情景假设；按实际年龄修改</t>
  </si>
  <si>
    <t>当前年度税前工资</t>
  </si>
  <si>
    <t>开始参保年龄</t>
  </si>
  <si>
    <t>用于将终身养老金现值分摊到职业期</t>
  </si>
  <si>
    <t>当前月社保缴费基数</t>
  </si>
  <si>
    <t>退休年龄</t>
  </si>
  <si>
    <t>情景假设；不代表法定退休年龄</t>
  </si>
  <si>
    <t>预期寿命</t>
  </si>
  <si>
    <t>情景假设</t>
  </si>
  <si>
    <t>距离退休年数</t>
  </si>
  <si>
    <t>年</t>
  </si>
  <si>
    <t>折现率</t>
  </si>
  <si>
    <t>用于把未来待遇折算为当前价值</t>
  </si>
  <si>
    <t>预计领取养老金年数</t>
  </si>
  <si>
    <t>退休前工资增长率</t>
  </si>
  <si>
    <t>预计职业缴费年数</t>
  </si>
  <si>
    <t>退休后养老金增长率</t>
  </si>
  <si>
    <t>退休时预计年度工资</t>
  </si>
  <si>
    <t>基础养老金替代率</t>
  </si>
  <si>
    <t>退休首年工资比例</t>
  </si>
  <si>
    <t>全职业期估值参数，不含个人账户</t>
  </si>
  <si>
    <t>退休首年基础养老金</t>
  </si>
  <si>
    <t>养老个人账户划入率</t>
  </si>
  <si>
    <t>社保基数比例</t>
  </si>
  <si>
    <t>仅用于权益估值，不回写主计算器缴费</t>
  </si>
  <si>
    <t>退休时点养老金现值</t>
  </si>
  <si>
    <t>元</t>
  </si>
  <si>
    <t>医保个人账户划入率</t>
  </si>
  <si>
    <t>按实际地区及年龄政策修改</t>
  </si>
  <si>
    <t>养老金现值（当前时点）</t>
  </si>
  <si>
    <t>基础养老金年化权益</t>
  </si>
  <si>
    <t>养老个人账户年度新增</t>
  </si>
  <si>
    <t>医保个人账户年度新增</t>
  </si>
  <si>
    <t>风险保障期望给付（年事件概率 × 预期待遇 × 适用系数）</t>
  </si>
  <si>
    <t>激进口径汇总</t>
  </si>
  <si>
    <t>险种</t>
  </si>
  <si>
    <t>年事件概率</t>
  </si>
  <si>
    <t>预期待遇</t>
  </si>
  <si>
    <t>适用系数</t>
  </si>
  <si>
    <t>年期望给付</t>
  </si>
  <si>
    <t>医疗保险</t>
  </si>
  <si>
    <t>失业保险</t>
  </si>
  <si>
    <t>工伤保险</t>
  </si>
  <si>
    <t>生育保险</t>
  </si>
  <si>
    <t>风险保障年期望给付</t>
  </si>
  <si>
    <t>风险保障年期望给付合计</t>
  </si>
  <si>
    <t>激进综合权益/税前工资</t>
  </si>
  <si>
    <t>倍</t>
  </si>
  <si>
    <t>激进权益/单位成本</t>
  </si>
  <si>
    <t>模型说明与风险提示</t>
  </si>
  <si>
    <t>本模型属于“激进口径”：把风险保险按概率期望值计入，并把未来基础养老金现值按预计职业缴费年数年化。结果不是可兑现收入。</t>
  </si>
  <si>
    <t>事件概率、预期待遇、适用系数、替代率、寿命和折现率均为情景假设。黄色底蓝字单元格应由用户按个人情况调整。</t>
  </si>
  <si>
    <t>基础养老金年化权益是对终身待遇现值的分摊近似；未模拟政策变化、缴费中断、生存概率、养老金计发基数和地区差异。</t>
  </si>
  <si>
    <t>养老及医保个人账户按名义年度新增计入；风险保险期望值不代表当年必然领取，也不能与现金等价。</t>
  </si>
  <si>
    <t>“年度激进综合权益”＝现金及公积金权益＋养老/医保个人账户新增＋基础养老金年化权益＋风险保障期望给付。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</si>
</sst>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;[Red]\(#,##0\);\-"/>
    <numFmt numFmtId="177" formatCode="0.00%;[Red]\(0.00%\);\-"/>
    <numFmt numFmtId="178" formatCode="0.0%;[Red]\(0.0%\);\-"/>
    <numFmt numFmtId="179" formatCode="0.00\x"/>
    <numFmt numFmtId="180" formatCode="0.00\x;[Red]\(0.00\x\);\-"/>
  </numFmts>
  <fonts count="17" x14ac:knownFonts="1">
    <font>
      <sz val="11"/>
      <color theme="1"/>
      <name val="等线"/>
    </font>
    <font>
      <sz val="11"/>
      <color rgb="FF006100"/>
      <name val="等线"/>
      <charset val="134"/>
    </font>
    <font>
      <sz val="11"/>
      <color rgb="FF9C0006"/>
      <name val="等线"/>
      <charset val="134"/>
    </font>
    <font>
      <sz val="11"/>
      <color rgb="FF9C5700"/>
      <name val="等线"/>
      <charset val="134"/>
    </font>
    <font>
      <b/>
      <sz val="11"/>
      <color rgb="FFFA7D00"/>
      <name val="等线"/>
      <charset val="134"/>
    </font>
    <font>
      <b/>
      <sz val="16"/>
      <color rgb="FFFFFFFF"/>
      <name val="等线"/>
      <charset val="134"/>
    </font>
    <font>
      <b/>
      <sz val="11"/>
      <color rgb="FF1F1F1F"/>
      <name val="等线"/>
      <charset val="134"/>
    </font>
    <font>
      <sz val="11"/>
      <color rgb="FF1F1F1F"/>
      <name val="等线"/>
      <charset val="134"/>
    </font>
    <font>
      <sz val="11"/>
      <color rgb="FF0000FF"/>
      <name val="等线"/>
      <charset val="134"/>
    </font>
    <font>
      <i/>
      <sz val="9"/>
      <color rgb="FF666666"/>
      <name val="等线"/>
      <charset val="134"/>
    </font>
    <font>
      <sz val="11"/>
      <color rgb="FF000000"/>
      <name val="等线"/>
      <charset val="134"/>
    </font>
    <font>
      <sz val="11"/>
      <color rgb="FF008000"/>
      <name val="等线"/>
      <charset val="134"/>
    </font>
    <font>
      <sz val="9"/>
      <color rgb="FF008000"/>
      <name val="等线"/>
      <charset val="134"/>
    </font>
    <font>
      <b/>
      <sz val="9"/>
      <color rgb="FF1F1F1F"/>
      <name val="等线"/>
      <charset val="134"/>
    </font>
    <font>
      <b/>
      <i/>
      <sz val="9"/>
      <color rgb="FF1F1F1F"/>
      <name val="等线"/>
      <charset val="134"/>
    </font>
    <font>
      <b/>
      <sz val="11"/>
      <color rgb="FF008000"/>
      <name val="等线"/>
      <charset val="134"/>
    </font>
    <font>
      <sz val="9"/>
      <name val="宋体"/>
      <family val="3"/>
      <charset val="134"/>
    </font>
  </fonts>
  <fills count="1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3F6F9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3F6F9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EAF2F8"/>
      </patternFill>
    </fill>
    <fill>
      <patternFill patternType="solid">
        <fgColor rgb="FFD9EAD3"/>
      </patternFill>
    </fill>
  </fills>
  <borders count="2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5">
    <xf numFmtId="0" fontId="0" fillId="0" borderId="0"/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4" fillId="5" borderId="1" applyNumberFormat="0" applyAlignment="0" applyProtection="0">
      <alignment vertical="center"/>
    </xf>
  </cellStyleXfs>
  <cellXfs count="109">
    <xf numFmtId="0" fontId="0" fillId="0" borderId="0" xfId="0"/>
    <xf numFmtId="0" fontId="6" fillId="7" borderId="2" xfId="0" applyFont="1" applyFill="1" applyBorder="1" applyAlignment="1">
      <alignment horizontal="left" vertical="center"/>
    </xf>
    <xf numFmtId="0" fontId="9" fillId="0" borderId="0" xfId="0" applyFont="1" applyAlignment="1">
      <alignment vertical="center" wrapText="1"/>
    </xf>
    <xf numFmtId="0" fontId="10" fillId="0" borderId="0" xfId="0" applyFont="1" applyAlignment="1">
      <alignment horizontal="right" vertical="center"/>
    </xf>
    <xf numFmtId="176" fontId="8" fillId="9" borderId="0" xfId="0" applyNumberFormat="1" applyFont="1" applyFill="1" applyAlignment="1">
      <alignment horizontal="right" vertical="center"/>
    </xf>
    <xf numFmtId="177" fontId="8" fillId="9" borderId="0" xfId="0" applyNumberFormat="1" applyFont="1" applyFill="1" applyAlignment="1">
      <alignment horizontal="right" vertical="center"/>
    </xf>
    <xf numFmtId="1" fontId="8" fillId="9" borderId="0" xfId="0" applyNumberFormat="1" applyFont="1" applyFill="1" applyAlignment="1">
      <alignment horizontal="right" vertical="center"/>
    </xf>
    <xf numFmtId="176" fontId="10" fillId="0" borderId="0" xfId="0" applyNumberFormat="1" applyFont="1" applyAlignment="1">
      <alignment horizontal="right" vertical="center"/>
    </xf>
    <xf numFmtId="176" fontId="8" fillId="9" borderId="4" xfId="0" applyNumberFormat="1" applyFont="1" applyFill="1" applyBorder="1" applyAlignment="1">
      <alignment horizontal="right" vertical="center"/>
    </xf>
    <xf numFmtId="0" fontId="9" fillId="0" borderId="7" xfId="0" applyFont="1" applyBorder="1" applyAlignment="1">
      <alignment vertical="center" wrapText="1"/>
    </xf>
    <xf numFmtId="176" fontId="8" fillId="9" borderId="9" xfId="0" applyNumberFormat="1" applyFont="1" applyFill="1" applyBorder="1" applyAlignment="1">
      <alignment horizontal="right" vertical="center"/>
    </xf>
    <xf numFmtId="0" fontId="9" fillId="0" borderId="10" xfId="0" applyFont="1" applyBorder="1" applyAlignment="1">
      <alignment vertical="center" wrapText="1"/>
    </xf>
    <xf numFmtId="176" fontId="10" fillId="0" borderId="4" xfId="0" applyNumberFormat="1" applyFont="1" applyBorder="1" applyAlignment="1">
      <alignment horizontal="right" vertical="center"/>
    </xf>
    <xf numFmtId="0" fontId="7" fillId="8" borderId="6" xfId="0" applyFont="1" applyFill="1" applyBorder="1" applyAlignment="1">
      <alignment vertical="center"/>
    </xf>
    <xf numFmtId="0" fontId="7" fillId="8" borderId="8" xfId="0" applyFont="1" applyFill="1" applyBorder="1" applyAlignment="1">
      <alignment vertical="center"/>
    </xf>
    <xf numFmtId="0" fontId="9" fillId="0" borderId="5" xfId="0" applyFont="1" applyBorder="1" applyAlignment="1">
      <alignment vertical="center" wrapText="1"/>
    </xf>
    <xf numFmtId="0" fontId="7" fillId="8" borderId="3" xfId="0" applyFont="1" applyFill="1" applyBorder="1" applyAlignment="1">
      <alignment vertical="center"/>
    </xf>
    <xf numFmtId="176" fontId="10" fillId="0" borderId="9" xfId="0" applyNumberFormat="1" applyFont="1" applyBorder="1" applyAlignment="1">
      <alignment horizontal="right" vertical="center"/>
    </xf>
    <xf numFmtId="0" fontId="6" fillId="10" borderId="3" xfId="0" applyFont="1" applyFill="1" applyBorder="1" applyAlignment="1">
      <alignment horizontal="center" vertical="center"/>
    </xf>
    <xf numFmtId="0" fontId="6" fillId="10" borderId="6" xfId="0" applyFont="1" applyFill="1" applyBorder="1" applyAlignment="1">
      <alignment horizontal="center" vertical="center"/>
    </xf>
    <xf numFmtId="0" fontId="6" fillId="10" borderId="8" xfId="0" applyFont="1" applyFill="1" applyBorder="1" applyAlignment="1">
      <alignment horizontal="center" vertical="center"/>
    </xf>
    <xf numFmtId="0" fontId="0" fillId="0" borderId="11" xfId="0" applyBorder="1"/>
    <xf numFmtId="0" fontId="0" fillId="0" borderId="12" xfId="0" applyBorder="1"/>
    <xf numFmtId="176" fontId="8" fillId="9" borderId="12" xfId="0" applyNumberFormat="1" applyFont="1" applyFill="1" applyBorder="1"/>
    <xf numFmtId="176" fontId="0" fillId="0" borderId="3" xfId="0" applyNumberFormat="1" applyBorder="1"/>
    <xf numFmtId="176" fontId="0" fillId="0" borderId="6" xfId="0" applyNumberFormat="1" applyBorder="1"/>
    <xf numFmtId="176" fontId="0" fillId="0" borderId="8" xfId="0" applyNumberFormat="1" applyBorder="1"/>
    <xf numFmtId="177" fontId="0" fillId="0" borderId="4" xfId="0" applyNumberFormat="1" applyBorder="1"/>
    <xf numFmtId="177" fontId="0" fillId="0" borderId="0" xfId="0" applyNumberFormat="1"/>
    <xf numFmtId="177" fontId="0" fillId="0" borderId="9" xfId="0" applyNumberFormat="1" applyBorder="1"/>
    <xf numFmtId="176" fontId="0" fillId="0" borderId="4" xfId="0" applyNumberFormat="1" applyBorder="1"/>
    <xf numFmtId="176" fontId="0" fillId="0" borderId="0" xfId="0" applyNumberFormat="1"/>
    <xf numFmtId="176" fontId="0" fillId="0" borderId="9" xfId="0" applyNumberFormat="1" applyBorder="1"/>
    <xf numFmtId="0" fontId="0" fillId="0" borderId="12" xfId="0" applyBorder="1" applyAlignment="1">
      <alignment wrapText="1"/>
    </xf>
    <xf numFmtId="0" fontId="12" fillId="0" borderId="13" xfId="0" applyFont="1" applyBorder="1" applyAlignment="1">
      <alignment wrapText="1"/>
    </xf>
    <xf numFmtId="0" fontId="0" fillId="0" borderId="4" xfId="0" applyBorder="1" applyAlignment="1">
      <alignment wrapText="1"/>
    </xf>
    <xf numFmtId="0" fontId="12" fillId="0" borderId="5" xfId="0" applyFont="1" applyBorder="1" applyAlignment="1">
      <alignment wrapText="1"/>
    </xf>
    <xf numFmtId="0" fontId="0" fillId="0" borderId="0" xfId="0" applyAlignment="1">
      <alignment wrapText="1"/>
    </xf>
    <xf numFmtId="0" fontId="12" fillId="0" borderId="7" xfId="0" applyFont="1" applyBorder="1" applyAlignment="1">
      <alignment wrapText="1"/>
    </xf>
    <xf numFmtId="0" fontId="0" fillId="0" borderId="9" xfId="0" applyBorder="1" applyAlignment="1">
      <alignment wrapText="1"/>
    </xf>
    <xf numFmtId="0" fontId="12" fillId="0" borderId="10" xfId="0" applyFont="1" applyBorder="1" applyAlignment="1">
      <alignment wrapText="1"/>
    </xf>
    <xf numFmtId="176" fontId="6" fillId="10" borderId="3" xfId="0" applyNumberFormat="1" applyFont="1" applyFill="1" applyBorder="1" applyAlignment="1">
      <alignment horizontal="center" vertical="center"/>
    </xf>
    <xf numFmtId="177" fontId="6" fillId="10" borderId="4" xfId="0" applyNumberFormat="1" applyFont="1" applyFill="1" applyBorder="1" applyAlignment="1">
      <alignment horizontal="center" vertical="center"/>
    </xf>
    <xf numFmtId="176" fontId="6" fillId="10" borderId="4" xfId="0" applyNumberFormat="1" applyFont="1" applyFill="1" applyBorder="1" applyAlignment="1">
      <alignment horizontal="center" vertical="center"/>
    </xf>
    <xf numFmtId="0" fontId="6" fillId="10" borderId="4" xfId="0" applyFont="1" applyFill="1" applyBorder="1" applyAlignment="1">
      <alignment horizontal="center" vertical="center" wrapText="1"/>
    </xf>
    <xf numFmtId="0" fontId="13" fillId="10" borderId="5" xfId="0" applyFont="1" applyFill="1" applyBorder="1" applyAlignment="1">
      <alignment horizontal="center" vertical="center" wrapText="1"/>
    </xf>
    <xf numFmtId="176" fontId="11" fillId="0" borderId="0" xfId="0" applyNumberFormat="1" applyFont="1" applyAlignment="1">
      <alignment horizontal="right" vertical="center"/>
    </xf>
    <xf numFmtId="0" fontId="10" fillId="0" borderId="4" xfId="0" applyFont="1" applyBorder="1" applyAlignment="1">
      <alignment horizontal="right" vertical="center"/>
    </xf>
    <xf numFmtId="0" fontId="10" fillId="0" borderId="5" xfId="0" applyFont="1" applyBorder="1" applyAlignment="1">
      <alignment horizontal="right" vertical="center"/>
    </xf>
    <xf numFmtId="0" fontId="10" fillId="0" borderId="7" xfId="0" applyFont="1" applyBorder="1" applyAlignment="1">
      <alignment horizontal="right" vertical="center"/>
    </xf>
    <xf numFmtId="1" fontId="8" fillId="14" borderId="0" xfId="0" applyNumberFormat="1" applyFont="1" applyFill="1" applyAlignment="1">
      <alignment horizontal="right" vertical="center"/>
    </xf>
    <xf numFmtId="178" fontId="8" fillId="14" borderId="0" xfId="0" applyNumberFormat="1" applyFont="1" applyFill="1" applyAlignment="1">
      <alignment horizontal="right" vertical="center"/>
    </xf>
    <xf numFmtId="1" fontId="10" fillId="0" borderId="0" xfId="0" applyNumberFormat="1" applyFont="1" applyAlignment="1">
      <alignment horizontal="right" vertical="center"/>
    </xf>
    <xf numFmtId="176" fontId="8" fillId="14" borderId="0" xfId="0" applyNumberFormat="1" applyFont="1" applyFill="1" applyAlignment="1">
      <alignment horizontal="right" vertical="center"/>
    </xf>
    <xf numFmtId="179" fontId="8" fillId="14" borderId="0" xfId="0" applyNumberFormat="1" applyFont="1" applyFill="1" applyAlignment="1">
      <alignment horizontal="right" vertical="center"/>
    </xf>
    <xf numFmtId="176" fontId="6" fillId="16" borderId="0" xfId="0" applyNumberFormat="1" applyFont="1" applyFill="1" applyAlignment="1">
      <alignment horizontal="right" vertical="center"/>
    </xf>
    <xf numFmtId="176" fontId="6" fillId="17" borderId="0" xfId="0" applyNumberFormat="1" applyFont="1" applyFill="1" applyAlignment="1">
      <alignment horizontal="right" vertical="center"/>
    </xf>
    <xf numFmtId="0" fontId="7" fillId="13" borderId="15" xfId="0" applyFont="1" applyFill="1" applyBorder="1" applyAlignment="1">
      <alignment vertical="center"/>
    </xf>
    <xf numFmtId="1" fontId="8" fillId="14" borderId="16" xfId="0" applyNumberFormat="1" applyFont="1" applyFill="1" applyBorder="1" applyAlignment="1">
      <alignment horizontal="right" vertical="center"/>
    </xf>
    <xf numFmtId="0" fontId="9" fillId="0" borderId="16" xfId="0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7" fillId="13" borderId="18" xfId="0" applyFont="1" applyFill="1" applyBorder="1" applyAlignment="1">
      <alignment vertical="center"/>
    </xf>
    <xf numFmtId="0" fontId="9" fillId="0" borderId="19" xfId="0" applyFont="1" applyBorder="1" applyAlignment="1">
      <alignment vertical="center" wrapText="1"/>
    </xf>
    <xf numFmtId="0" fontId="7" fillId="13" borderId="20" xfId="0" applyFont="1" applyFill="1" applyBorder="1" applyAlignment="1">
      <alignment vertical="center"/>
    </xf>
    <xf numFmtId="178" fontId="8" fillId="14" borderId="21" xfId="0" applyNumberFormat="1" applyFont="1" applyFill="1" applyBorder="1" applyAlignment="1">
      <alignment horizontal="right" vertical="center"/>
    </xf>
    <xf numFmtId="0" fontId="9" fillId="0" borderId="21" xfId="0" applyFont="1" applyBorder="1" applyAlignment="1">
      <alignment vertical="center" wrapText="1"/>
    </xf>
    <xf numFmtId="0" fontId="9" fillId="0" borderId="22" xfId="0" applyFont="1" applyBorder="1" applyAlignment="1">
      <alignment vertical="center" wrapText="1"/>
    </xf>
    <xf numFmtId="176" fontId="11" fillId="0" borderId="16" xfId="0" applyNumberFormat="1" applyFont="1" applyBorder="1" applyAlignment="1">
      <alignment horizontal="right" vertical="center"/>
    </xf>
    <xf numFmtId="176" fontId="10" fillId="0" borderId="21" xfId="0" applyNumberFormat="1" applyFont="1" applyBorder="1" applyAlignment="1">
      <alignment horizontal="right" vertical="center"/>
    </xf>
    <xf numFmtId="0" fontId="6" fillId="15" borderId="15" xfId="0" applyFont="1" applyFill="1" applyBorder="1" applyAlignment="1">
      <alignment horizontal="center" vertical="center"/>
    </xf>
    <xf numFmtId="0" fontId="6" fillId="15" borderId="16" xfId="0" applyFont="1" applyFill="1" applyBorder="1" applyAlignment="1">
      <alignment horizontal="center" vertical="center"/>
    </xf>
    <xf numFmtId="0" fontId="6" fillId="15" borderId="17" xfId="0" applyFont="1" applyFill="1" applyBorder="1" applyAlignment="1">
      <alignment horizontal="center" vertical="center"/>
    </xf>
    <xf numFmtId="176" fontId="10" fillId="0" borderId="19" xfId="0" applyNumberFormat="1" applyFont="1" applyBorder="1" applyAlignment="1">
      <alignment horizontal="right" vertical="center"/>
    </xf>
    <xf numFmtId="176" fontId="6" fillId="16" borderId="22" xfId="0" applyNumberFormat="1" applyFont="1" applyFill="1" applyBorder="1" applyAlignment="1">
      <alignment vertical="center"/>
    </xf>
    <xf numFmtId="0" fontId="6" fillId="16" borderId="18" xfId="0" applyFont="1" applyFill="1" applyBorder="1" applyAlignment="1">
      <alignment vertical="center"/>
    </xf>
    <xf numFmtId="0" fontId="14" fillId="16" borderId="19" xfId="0" applyFont="1" applyFill="1" applyBorder="1" applyAlignment="1">
      <alignment vertical="center" wrapText="1"/>
    </xf>
    <xf numFmtId="0" fontId="6" fillId="17" borderId="18" xfId="0" applyFont="1" applyFill="1" applyBorder="1" applyAlignment="1">
      <alignment vertical="center"/>
    </xf>
    <xf numFmtId="0" fontId="14" fillId="17" borderId="19" xfId="0" applyFont="1" applyFill="1" applyBorder="1" applyAlignment="1">
      <alignment vertical="center" wrapText="1"/>
    </xf>
    <xf numFmtId="180" fontId="10" fillId="0" borderId="21" xfId="0" applyNumberFormat="1" applyFont="1" applyBorder="1" applyAlignment="1">
      <alignment horizontal="right" vertical="center"/>
    </xf>
    <xf numFmtId="0" fontId="6" fillId="15" borderId="18" xfId="0" applyFont="1" applyFill="1" applyBorder="1" applyAlignment="1">
      <alignment horizontal="center" vertical="center"/>
    </xf>
    <xf numFmtId="0" fontId="6" fillId="15" borderId="20" xfId="0" applyFont="1" applyFill="1" applyBorder="1" applyAlignment="1">
      <alignment horizontal="center" vertical="center"/>
    </xf>
    <xf numFmtId="0" fontId="6" fillId="17" borderId="20" xfId="0" applyFont="1" applyFill="1" applyBorder="1" applyAlignment="1">
      <alignment vertical="center"/>
    </xf>
    <xf numFmtId="0" fontId="14" fillId="17" borderId="22" xfId="0" applyFont="1" applyFill="1" applyBorder="1" applyAlignment="1">
      <alignment vertical="center" wrapText="1"/>
    </xf>
    <xf numFmtId="176" fontId="15" fillId="17" borderId="0" xfId="0" applyNumberFormat="1" applyFont="1" applyFill="1" applyAlignment="1">
      <alignment horizontal="right" vertical="center"/>
    </xf>
    <xf numFmtId="176" fontId="15" fillId="17" borderId="21" xfId="0" applyNumberFormat="1" applyFont="1" applyFill="1" applyBorder="1" applyAlignment="1">
      <alignment horizontal="right" vertical="center"/>
    </xf>
    <xf numFmtId="180" fontId="10" fillId="0" borderId="16" xfId="0" applyNumberFormat="1" applyFont="1" applyBorder="1" applyAlignment="1">
      <alignment horizontal="right" vertical="center"/>
    </xf>
    <xf numFmtId="0" fontId="5" fillId="6" borderId="0" xfId="0" applyFont="1" applyFill="1" applyAlignment="1">
      <alignment horizontal="center" vertical="center"/>
    </xf>
    <xf numFmtId="0" fontId="6" fillId="7" borderId="2" xfId="0" applyFont="1" applyFill="1" applyBorder="1" applyAlignment="1">
      <alignment horizontal="left" vertical="center"/>
    </xf>
    <xf numFmtId="0" fontId="10" fillId="0" borderId="0" xfId="0" applyFont="1" applyAlignment="1">
      <alignment horizontal="right" vertical="center"/>
    </xf>
    <xf numFmtId="0" fontId="10" fillId="0" borderId="7" xfId="0" applyFont="1" applyBorder="1" applyAlignment="1">
      <alignment horizontal="right" vertical="center"/>
    </xf>
    <xf numFmtId="0" fontId="9" fillId="0" borderId="9" xfId="0" applyFont="1" applyBorder="1" applyAlignment="1">
      <alignment vertical="center" wrapText="1"/>
    </xf>
    <xf numFmtId="0" fontId="9" fillId="0" borderId="10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9" fillId="0" borderId="5" xfId="0" applyFont="1" applyBorder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7" xfId="0" applyFont="1" applyBorder="1" applyAlignment="1">
      <alignment vertical="center" wrapText="1"/>
    </xf>
    <xf numFmtId="0" fontId="6" fillId="12" borderId="23" xfId="0" applyFont="1" applyFill="1" applyBorder="1" applyAlignment="1">
      <alignment horizontal="left" vertical="center"/>
    </xf>
    <xf numFmtId="0" fontId="6" fillId="12" borderId="24" xfId="0" applyFont="1" applyFill="1" applyBorder="1" applyAlignment="1">
      <alignment horizontal="left" vertical="center"/>
    </xf>
    <xf numFmtId="0" fontId="6" fillId="12" borderId="25" xfId="0" applyFont="1" applyFill="1" applyBorder="1" applyAlignment="1">
      <alignment horizontal="left" vertical="center"/>
    </xf>
    <xf numFmtId="0" fontId="6" fillId="12" borderId="14" xfId="0" applyFont="1" applyFill="1" applyBorder="1" applyAlignment="1">
      <alignment horizontal="left" vertical="center"/>
    </xf>
    <xf numFmtId="0" fontId="6" fillId="7" borderId="2" xfId="0" applyFont="1" applyFill="1" applyBorder="1" applyAlignment="1">
      <alignment horizontal="left" vertical="center" wrapText="1"/>
    </xf>
    <xf numFmtId="0" fontId="5" fillId="11" borderId="0" xfId="0" applyFont="1" applyFill="1" applyAlignment="1">
      <alignment horizontal="center" vertical="center"/>
    </xf>
    <xf numFmtId="0" fontId="6" fillId="16" borderId="20" xfId="0" applyFont="1" applyFill="1" applyBorder="1" applyAlignment="1">
      <alignment vertical="center"/>
    </xf>
    <xf numFmtId="0" fontId="6" fillId="16" borderId="21" xfId="0" applyFont="1" applyFill="1" applyBorder="1" applyAlignment="1">
      <alignment vertical="center"/>
    </xf>
    <xf numFmtId="0" fontId="9" fillId="0" borderId="16" xfId="0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9" fillId="0" borderId="19" xfId="0" applyFont="1" applyBorder="1" applyAlignment="1">
      <alignment vertical="center" wrapText="1"/>
    </xf>
    <xf numFmtId="0" fontId="9" fillId="0" borderId="21" xfId="0" applyFont="1" applyBorder="1" applyAlignment="1">
      <alignment vertical="center" wrapText="1"/>
    </xf>
    <xf numFmtId="0" fontId="9" fillId="0" borderId="22" xfId="0" applyFont="1" applyBorder="1" applyAlignment="1">
      <alignment vertical="center" wrapText="1"/>
    </xf>
  </cellXfs>
  <cellStyles count="5">
    <cellStyle name="差" xfId="2" xr:uid="{00000000-0005-0000-0000-000000000000}"/>
    <cellStyle name="常规" xfId="0" builtinId="0"/>
    <cellStyle name="好" xfId="1" xr:uid="{00000000-0005-0000-0000-000002000000}"/>
    <cellStyle name="计算" xfId="4" xr:uid="{00000000-0005-0000-0000-000003000000}"/>
    <cellStyle name="适中" xfId="3" xr:uid="{00000000-0005-0000-0000-000004000000}"/>
  </cellStyles>
  <dxfs count="9"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9C6500"/>
      </font>
      <fill>
        <patternFill>
          <bgColor rgb="FFFFF2CC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9C6500"/>
      </font>
      <fill>
        <patternFill>
          <bgColor rgb="FFFFF2CC"/>
        </patternFill>
      </fill>
    </dxf>
    <dxf>
      <font>
        <b/>
        <color rgb="FF006100"/>
      </font>
      <fill>
        <patternFill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"/>
  <sheetViews>
    <sheetView tabSelected="1" zoomScale="85" zoomScaleNormal="85" workbookViewId="0">
      <selection activeCell="N20" sqref="N20"/>
    </sheetView>
  </sheetViews>
  <sheetFormatPr defaultRowHeight="14.25" x14ac:dyDescent="0.2"/>
  <cols>
    <col min="1" max="1" width="28" customWidth="1"/>
    <col min="2" max="2" width="15" customWidth="1"/>
    <col min="3" max="3" width="32" customWidth="1"/>
    <col min="4" max="4" width="3" customWidth="1"/>
    <col min="5" max="5" width="28" customWidth="1"/>
    <col min="6" max="6" width="20" customWidth="1"/>
    <col min="7" max="7" width="27" customWidth="1"/>
    <col min="8" max="8" width="12" customWidth="1"/>
  </cols>
  <sheetData>
    <row r="1" spans="1:8" ht="30" customHeight="1" x14ac:dyDescent="0.2">
      <c r="A1" s="86" t="s">
        <v>0</v>
      </c>
      <c r="B1" s="86"/>
      <c r="C1" s="86"/>
      <c r="D1" s="86"/>
      <c r="E1" s="86"/>
      <c r="F1" s="86"/>
      <c r="G1" s="86"/>
      <c r="H1" s="86"/>
    </row>
    <row r="3" spans="1:8" x14ac:dyDescent="0.2">
      <c r="A3" s="87" t="s">
        <v>1</v>
      </c>
      <c r="B3" s="87"/>
      <c r="C3" s="87"/>
      <c r="E3" s="87" t="s">
        <v>2</v>
      </c>
      <c r="F3" s="87"/>
      <c r="G3" s="87"/>
      <c r="H3" s="87"/>
    </row>
    <row r="4" spans="1:8" x14ac:dyDescent="0.2">
      <c r="A4" s="16" t="s">
        <v>3</v>
      </c>
      <c r="B4" s="8">
        <v>9867</v>
      </c>
      <c r="C4" s="15" t="s">
        <v>4</v>
      </c>
      <c r="E4" s="16" t="s">
        <v>5</v>
      </c>
      <c r="F4" s="12">
        <f>IFERROR($B$4/($B$5+$B$6),0)</f>
        <v>41112.5</v>
      </c>
      <c r="G4" s="47"/>
      <c r="H4" s="48"/>
    </row>
    <row r="5" spans="1:8" ht="24.95" customHeight="1" x14ac:dyDescent="0.2">
      <c r="A5" s="13" t="s">
        <v>6</v>
      </c>
      <c r="B5" s="5">
        <v>0.12</v>
      </c>
      <c r="C5" s="9" t="s">
        <v>7</v>
      </c>
      <c r="E5" s="13" t="s">
        <v>8</v>
      </c>
      <c r="F5" s="88" t="str">
        <f>IF($B$5+$B$6&lt;=0,"比例错误",IF(F4&gt;$B$8+0.01,"输入不一致：反推基数高于上限",IF(ABS(F4-$B$8)&lt;=0.01,"达到上限：仅能判断工资不低于上限",IF(F4&lt;$B$7-0.01,"达到下限或输入异常：无法精确反推","区间内：可近似反推缴存基数"))))</f>
        <v>输入不一致：反推基数高于上限</v>
      </c>
      <c r="G5" s="88"/>
      <c r="H5" s="89"/>
    </row>
    <row r="6" spans="1:8" x14ac:dyDescent="0.2">
      <c r="A6" s="13" t="s">
        <v>9</v>
      </c>
      <c r="B6" s="5">
        <v>0.12</v>
      </c>
      <c r="C6" s="9" t="s">
        <v>7</v>
      </c>
      <c r="E6" s="13" t="s">
        <v>10</v>
      </c>
      <c r="F6" s="7">
        <f>MAX($B$7,MIN(F4,$B$8))</f>
        <v>41112</v>
      </c>
      <c r="G6" s="3"/>
      <c r="H6" s="49"/>
    </row>
    <row r="7" spans="1:8" ht="24.95" customHeight="1" x14ac:dyDescent="0.2">
      <c r="A7" s="13" t="s">
        <v>11</v>
      </c>
      <c r="B7" s="4">
        <v>2500</v>
      </c>
      <c r="C7" s="9" t="s">
        <v>12</v>
      </c>
      <c r="E7" s="13" t="s">
        <v>13</v>
      </c>
      <c r="F7" s="88" t="str">
        <f>IF($B$17&gt;0,"使用手工输入的当前月税前工资","使用公积金缴存基数反推值")</f>
        <v>使用公积金缴存基数反推值</v>
      </c>
      <c r="G7" s="88"/>
      <c r="H7" s="89"/>
    </row>
    <row r="8" spans="1:8" x14ac:dyDescent="0.2">
      <c r="A8" s="13" t="s">
        <v>14</v>
      </c>
      <c r="B8" s="4">
        <v>41112</v>
      </c>
      <c r="C8" s="9" t="s">
        <v>12</v>
      </c>
      <c r="E8" s="13" t="s">
        <v>15</v>
      </c>
      <c r="F8" s="7">
        <f>IF($B$17&gt;0,$B$17,F6)</f>
        <v>41112</v>
      </c>
      <c r="G8" s="3"/>
      <c r="H8" s="49"/>
    </row>
    <row r="9" spans="1:8" x14ac:dyDescent="0.2">
      <c r="A9" s="13" t="s">
        <v>16</v>
      </c>
      <c r="B9" s="5">
        <v>0.1</v>
      </c>
      <c r="C9" s="9" t="s">
        <v>17</v>
      </c>
      <c r="E9" s="13" t="s">
        <v>18</v>
      </c>
      <c r="F9" s="7">
        <f>MAX($B$11,MIN(F8,$B$12))</f>
        <v>41112</v>
      </c>
      <c r="G9" s="3"/>
      <c r="H9" s="49"/>
    </row>
    <row r="10" spans="1:8" ht="42" customHeight="1" x14ac:dyDescent="0.2">
      <c r="A10" s="13" t="s">
        <v>19</v>
      </c>
      <c r="B10" s="5">
        <v>0.25</v>
      </c>
      <c r="C10" s="9" t="s">
        <v>17</v>
      </c>
      <c r="E10" s="14" t="s">
        <v>20</v>
      </c>
      <c r="F10" s="90" t="s">
        <v>21</v>
      </c>
      <c r="G10" s="90"/>
      <c r="H10" s="91"/>
    </row>
    <row r="11" spans="1:8" x14ac:dyDescent="0.2">
      <c r="A11" s="13" t="s">
        <v>22</v>
      </c>
      <c r="B11" s="4">
        <v>2500</v>
      </c>
      <c r="C11" s="9" t="s">
        <v>23</v>
      </c>
    </row>
    <row r="12" spans="1:8" x14ac:dyDescent="0.2">
      <c r="A12" s="13" t="s">
        <v>24</v>
      </c>
      <c r="B12" s="4">
        <v>41112</v>
      </c>
      <c r="C12" s="9" t="s">
        <v>25</v>
      </c>
    </row>
    <row r="13" spans="1:8" x14ac:dyDescent="0.2">
      <c r="A13" s="13" t="s">
        <v>26</v>
      </c>
      <c r="B13" s="4">
        <v>0</v>
      </c>
      <c r="C13" s="9" t="s">
        <v>4</v>
      </c>
    </row>
    <row r="14" spans="1:8" x14ac:dyDescent="0.2">
      <c r="A14" s="13" t="s">
        <v>27</v>
      </c>
      <c r="B14" s="4">
        <v>0</v>
      </c>
      <c r="C14" s="9" t="s">
        <v>4</v>
      </c>
    </row>
    <row r="15" spans="1:8" x14ac:dyDescent="0.2">
      <c r="A15" s="13" t="s">
        <v>28</v>
      </c>
      <c r="B15" s="4">
        <v>0</v>
      </c>
      <c r="C15" s="9" t="s">
        <v>29</v>
      </c>
    </row>
    <row r="16" spans="1:8" x14ac:dyDescent="0.2">
      <c r="A16" s="13" t="s">
        <v>30</v>
      </c>
      <c r="B16" s="6">
        <v>12</v>
      </c>
      <c r="C16" s="9" t="s">
        <v>31</v>
      </c>
    </row>
    <row r="17" spans="1:8" x14ac:dyDescent="0.2">
      <c r="A17" s="14" t="s">
        <v>32</v>
      </c>
      <c r="B17" s="10">
        <v>0</v>
      </c>
      <c r="C17" s="11" t="s">
        <v>33</v>
      </c>
    </row>
    <row r="20" spans="1:8" x14ac:dyDescent="0.2">
      <c r="A20" s="87" t="s">
        <v>34</v>
      </c>
      <c r="B20" s="87"/>
      <c r="C20" s="87"/>
      <c r="E20" s="87" t="s">
        <v>35</v>
      </c>
      <c r="F20" s="87"/>
      <c r="G20" s="87"/>
      <c r="H20" s="87"/>
    </row>
    <row r="21" spans="1:8" x14ac:dyDescent="0.2">
      <c r="A21" s="16" t="s">
        <v>36</v>
      </c>
      <c r="B21" s="12">
        <f>$F$8</f>
        <v>41112</v>
      </c>
      <c r="C21" s="15" t="s">
        <v>4</v>
      </c>
      <c r="E21" s="16" t="s">
        <v>37</v>
      </c>
      <c r="F21" s="12">
        <f>B21*$B$16</f>
        <v>493344</v>
      </c>
      <c r="G21" s="15" t="s">
        <v>38</v>
      </c>
    </row>
    <row r="22" spans="1:8" x14ac:dyDescent="0.2">
      <c r="A22" s="13" t="s">
        <v>39</v>
      </c>
      <c r="B22" s="7">
        <f>$F$6*$B$5</f>
        <v>4933.4399999999996</v>
      </c>
      <c r="C22" s="9" t="s">
        <v>40</v>
      </c>
      <c r="E22" s="13" t="s">
        <v>41</v>
      </c>
      <c r="F22" s="7">
        <f>B30*$B$16</f>
        <v>335526.24</v>
      </c>
      <c r="G22" s="9" t="s">
        <v>42</v>
      </c>
    </row>
    <row r="23" spans="1:8" x14ac:dyDescent="0.2">
      <c r="A23" s="13" t="s">
        <v>43</v>
      </c>
      <c r="B23" s="7">
        <f>$F$6*$B$6</f>
        <v>4933.4399999999996</v>
      </c>
      <c r="C23" s="9" t="s">
        <v>40</v>
      </c>
      <c r="E23" s="13" t="s">
        <v>44</v>
      </c>
      <c r="F23" s="7">
        <f>(B22+B23)*$B$16</f>
        <v>118402.56</v>
      </c>
      <c r="G23" s="9" t="s">
        <v>45</v>
      </c>
    </row>
    <row r="24" spans="1:8" x14ac:dyDescent="0.2">
      <c r="A24" s="13" t="s">
        <v>46</v>
      </c>
      <c r="B24" s="7">
        <f>$F$9*$B$9</f>
        <v>4111.2</v>
      </c>
      <c r="C24" s="9" t="s">
        <v>47</v>
      </c>
      <c r="E24" s="13" t="s">
        <v>48</v>
      </c>
      <c r="F24" s="7">
        <f>B31*$B$16</f>
        <v>453928.80000000005</v>
      </c>
      <c r="G24" s="9" t="s">
        <v>49</v>
      </c>
    </row>
    <row r="25" spans="1:8" x14ac:dyDescent="0.2">
      <c r="A25" s="13" t="s">
        <v>50</v>
      </c>
      <c r="B25" s="7">
        <f>$F$9*$B$10</f>
        <v>10278</v>
      </c>
      <c r="C25" s="9" t="s">
        <v>51</v>
      </c>
      <c r="E25" s="13" t="s">
        <v>52</v>
      </c>
      <c r="F25" s="7">
        <f>B24*$B$16</f>
        <v>49334.399999999994</v>
      </c>
      <c r="G25" s="9" t="s">
        <v>53</v>
      </c>
    </row>
    <row r="26" spans="1:8" x14ac:dyDescent="0.2">
      <c r="A26" s="13" t="s">
        <v>54</v>
      </c>
      <c r="B26" s="46">
        <f>MAX(0,B21-B22-B24-参数说明!$B$4-$B$13-$B$14)</f>
        <v>27067.359999999997</v>
      </c>
      <c r="C26" s="9" t="s">
        <v>4</v>
      </c>
      <c r="E26" s="13" t="s">
        <v>55</v>
      </c>
      <c r="F26" s="7">
        <f>B25*$B$16</f>
        <v>123336</v>
      </c>
      <c r="G26" s="9" t="s">
        <v>56</v>
      </c>
    </row>
    <row r="27" spans="1:8" x14ac:dyDescent="0.2">
      <c r="A27" s="13" t="s">
        <v>57</v>
      </c>
      <c r="B27" s="46">
        <f>B26*$B$16</f>
        <v>324808.31999999995</v>
      </c>
      <c r="C27" s="9" t="s">
        <v>38</v>
      </c>
      <c r="E27" s="13" t="s">
        <v>58</v>
      </c>
      <c r="F27" s="7">
        <f>(B22+B23+B24+B25)*$B$16</f>
        <v>291072.95999999996</v>
      </c>
      <c r="G27" s="9" t="s">
        <v>59</v>
      </c>
    </row>
    <row r="28" spans="1:8" x14ac:dyDescent="0.2">
      <c r="A28" s="13" t="s">
        <v>60</v>
      </c>
      <c r="B28" s="46">
        <f>IF(B27&lt;=0,0,B27*INDEX(参数说明!$B$7:$B$13,MATCH(B27,参数说明!$A$7:$A$13,1))-INDEX(参数说明!$C$7:$C$13,MATCH(B27,参数说明!$A$7:$A$13,1)))</f>
        <v>49282.079999999987</v>
      </c>
      <c r="C28" s="9" t="s">
        <v>38</v>
      </c>
      <c r="E28" s="13" t="s">
        <v>61</v>
      </c>
      <c r="F28" s="7">
        <f>B32*$B$16</f>
        <v>675881.28</v>
      </c>
      <c r="G28" s="9" t="s">
        <v>62</v>
      </c>
    </row>
    <row r="29" spans="1:8" x14ac:dyDescent="0.2">
      <c r="A29" s="13" t="s">
        <v>63</v>
      </c>
      <c r="B29" s="7">
        <f>IF($B$16&lt;=0,0,B28/$B$16)</f>
        <v>4106.8399999999992</v>
      </c>
      <c r="C29" s="9" t="s">
        <v>64</v>
      </c>
      <c r="E29" s="13" t="s">
        <v>65</v>
      </c>
      <c r="F29" s="7">
        <f>$B$15*$B$16</f>
        <v>0</v>
      </c>
      <c r="G29" s="9" t="s">
        <v>38</v>
      </c>
    </row>
    <row r="30" spans="1:8" x14ac:dyDescent="0.2">
      <c r="A30" s="13" t="s">
        <v>66</v>
      </c>
      <c r="B30" s="7">
        <f>B21-B22-B24-B29</f>
        <v>27960.519999999997</v>
      </c>
      <c r="C30" s="9" t="s">
        <v>67</v>
      </c>
      <c r="E30" s="14" t="s">
        <v>68</v>
      </c>
      <c r="F30" s="17">
        <f>B28</f>
        <v>49282.079999999987</v>
      </c>
      <c r="G30" s="11" t="s">
        <v>38</v>
      </c>
    </row>
    <row r="31" spans="1:8" x14ac:dyDescent="0.2">
      <c r="A31" s="13" t="s">
        <v>69</v>
      </c>
      <c r="B31" s="7">
        <f>B30+B22+B23</f>
        <v>37827.4</v>
      </c>
      <c r="C31" s="9" t="s">
        <v>70</v>
      </c>
      <c r="E31" s="96" t="s">
        <v>71</v>
      </c>
      <c r="F31" s="97"/>
      <c r="G31" s="98"/>
      <c r="H31" s="99"/>
    </row>
    <row r="32" spans="1:8" x14ac:dyDescent="0.2">
      <c r="A32" s="14" t="s">
        <v>72</v>
      </c>
      <c r="B32" s="17">
        <f>B21+B23+B25+$B$15</f>
        <v>56323.44</v>
      </c>
      <c r="C32" s="11" t="s">
        <v>73</v>
      </c>
      <c r="E32" s="61" t="s">
        <v>74</v>
      </c>
      <c r="F32" s="46">
        <f>'五险权益-激进口径'!$H$24</f>
        <v>150385.80353134283</v>
      </c>
      <c r="G32" s="62" t="s">
        <v>75</v>
      </c>
    </row>
    <row r="33" spans="1:8" x14ac:dyDescent="0.2">
      <c r="E33" s="76" t="s">
        <v>76</v>
      </c>
      <c r="F33" s="83">
        <f>'五险权益-激进口径'!$H$25</f>
        <v>604314.60353134293</v>
      </c>
      <c r="G33" s="77" t="s">
        <v>77</v>
      </c>
    </row>
    <row r="34" spans="1:8" x14ac:dyDescent="0.2">
      <c r="E34" s="81" t="s">
        <v>78</v>
      </c>
      <c r="F34" s="84">
        <f>'五险权益-激进口径'!$H$26</f>
        <v>50359.550294278575</v>
      </c>
      <c r="G34" s="82" t="s">
        <v>79</v>
      </c>
    </row>
    <row r="35" spans="1:8" x14ac:dyDescent="0.2">
      <c r="A35" s="87" t="s">
        <v>80</v>
      </c>
      <c r="B35" s="87"/>
      <c r="C35" s="87"/>
      <c r="D35" s="87"/>
      <c r="E35" s="87"/>
      <c r="F35" s="87"/>
      <c r="G35" s="87"/>
      <c r="H35" s="87"/>
    </row>
    <row r="36" spans="1:8" ht="30" customHeight="1" x14ac:dyDescent="0.2">
      <c r="A36" s="18" t="s">
        <v>81</v>
      </c>
      <c r="B36" s="92" t="s">
        <v>82</v>
      </c>
      <c r="C36" s="92"/>
      <c r="D36" s="92"/>
      <c r="E36" s="92"/>
      <c r="F36" s="92"/>
      <c r="G36" s="92"/>
      <c r="H36" s="93"/>
    </row>
    <row r="37" spans="1:8" ht="30" customHeight="1" x14ac:dyDescent="0.2">
      <c r="A37" s="19" t="s">
        <v>83</v>
      </c>
      <c r="B37" s="94" t="s">
        <v>84</v>
      </c>
      <c r="C37" s="94"/>
      <c r="D37" s="94"/>
      <c r="E37" s="94"/>
      <c r="F37" s="94"/>
      <c r="G37" s="94"/>
      <c r="H37" s="95"/>
    </row>
    <row r="38" spans="1:8" ht="30" customHeight="1" x14ac:dyDescent="0.2">
      <c r="A38" s="19" t="s">
        <v>85</v>
      </c>
      <c r="B38" s="94" t="s">
        <v>86</v>
      </c>
      <c r="C38" s="94"/>
      <c r="D38" s="94"/>
      <c r="E38" s="94"/>
      <c r="F38" s="94"/>
      <c r="G38" s="94"/>
      <c r="H38" s="95"/>
    </row>
    <row r="39" spans="1:8" ht="30" customHeight="1" x14ac:dyDescent="0.2">
      <c r="A39" s="19" t="s">
        <v>87</v>
      </c>
      <c r="B39" s="94" t="s">
        <v>88</v>
      </c>
      <c r="C39" s="94"/>
      <c r="D39" s="94"/>
      <c r="E39" s="94"/>
      <c r="F39" s="94"/>
      <c r="G39" s="94"/>
      <c r="H39" s="95"/>
    </row>
    <row r="40" spans="1:8" ht="30" customHeight="1" x14ac:dyDescent="0.2">
      <c r="A40" s="20" t="s">
        <v>89</v>
      </c>
      <c r="B40" s="90" t="s">
        <v>90</v>
      </c>
      <c r="C40" s="90"/>
      <c r="D40" s="90"/>
      <c r="E40" s="90"/>
      <c r="F40" s="90"/>
      <c r="G40" s="90"/>
      <c r="H40" s="91"/>
    </row>
  </sheetData>
  <mergeCells count="15">
    <mergeCell ref="B37:H37"/>
    <mergeCell ref="B38:H38"/>
    <mergeCell ref="B39:H39"/>
    <mergeCell ref="B40:H40"/>
    <mergeCell ref="E31:H31"/>
    <mergeCell ref="F10:H10"/>
    <mergeCell ref="A20:C20"/>
    <mergeCell ref="E20:H20"/>
    <mergeCell ref="A35:H35"/>
    <mergeCell ref="B36:H36"/>
    <mergeCell ref="A1:H1"/>
    <mergeCell ref="A3:C3"/>
    <mergeCell ref="E3:H3"/>
    <mergeCell ref="F5:H5"/>
    <mergeCell ref="F7:H7"/>
  </mergeCells>
  <phoneticPr fontId="16" type="noConversion"/>
  <conditionalFormatting sqref="F5:H5">
    <cfRule type="expression" dxfId="8" priority="1">
      <formula>ISNUMBER(SEARCH("区间内",$F$5))</formula>
    </cfRule>
    <cfRule type="expression" dxfId="7" priority="2">
      <formula>ISNUMBER(SEARCH("上限",$F$5))</formula>
    </cfRule>
    <cfRule type="expression" dxfId="6" priority="3">
      <formula>OR(ISNUMBER(SEARCH("不一致",$F$5)),ISNUMBER(SEARCH("错误",$F$5)),ISNUMBER(SEARCH("异常",$F$5)))</formula>
    </cfRule>
    <cfRule type="expression" dxfId="5" priority="4">
      <formula>ISNUMBER(SEARCH("区间内",$F$5))</formula>
    </cfRule>
    <cfRule type="expression" dxfId="4" priority="5">
      <formula>ISNUMBER(SEARCH("上限",$F$5))</formula>
    </cfRule>
    <cfRule type="expression" dxfId="3" priority="6">
      <formula>OR(ISNUMBER(SEARCH("不一致",$F$5)),ISNUMBER(SEARCH("错误",$F$5)),ISNUMBER(SEARCH("异常",$F$5)))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"/>
  <sheetViews>
    <sheetView workbookViewId="0"/>
  </sheetViews>
  <sheetFormatPr defaultRowHeight="14.25" x14ac:dyDescent="0.2"/>
  <cols>
    <col min="1" max="1" width="26" customWidth="1"/>
    <col min="2" max="3" width="15" customWidth="1"/>
    <col min="4" max="4" width="34" customWidth="1"/>
    <col min="5" max="5" width="56" customWidth="1"/>
  </cols>
  <sheetData>
    <row r="1" spans="1:5" ht="30" customHeight="1" x14ac:dyDescent="0.2">
      <c r="A1" s="86" t="s">
        <v>91</v>
      </c>
      <c r="B1" s="86"/>
      <c r="C1" s="86"/>
      <c r="D1" s="86"/>
      <c r="E1" s="86"/>
    </row>
    <row r="3" spans="1:5" x14ac:dyDescent="0.2">
      <c r="A3" s="1" t="s">
        <v>92</v>
      </c>
      <c r="B3" s="1" t="s">
        <v>93</v>
      </c>
      <c r="C3" s="1" t="s">
        <v>94</v>
      </c>
      <c r="D3" s="1" t="s">
        <v>95</v>
      </c>
      <c r="E3" s="1" t="s">
        <v>96</v>
      </c>
    </row>
    <row r="4" spans="1:5" ht="24" x14ac:dyDescent="0.2">
      <c r="A4" s="21" t="s">
        <v>97</v>
      </c>
      <c r="B4" s="23">
        <v>5000</v>
      </c>
      <c r="C4" s="22" t="s">
        <v>4</v>
      </c>
      <c r="D4" s="33" t="s">
        <v>98</v>
      </c>
      <c r="E4" s="34" t="s">
        <v>99</v>
      </c>
    </row>
    <row r="5" spans="1:5" x14ac:dyDescent="0.2">
      <c r="A5" s="87" t="s">
        <v>100</v>
      </c>
      <c r="B5" s="87"/>
      <c r="C5" s="87"/>
      <c r="D5" s="100"/>
      <c r="E5" s="100"/>
    </row>
    <row r="6" spans="1:5" x14ac:dyDescent="0.2">
      <c r="A6" s="41" t="s">
        <v>101</v>
      </c>
      <c r="B6" s="42" t="s">
        <v>102</v>
      </c>
      <c r="C6" s="43" t="s">
        <v>103</v>
      </c>
      <c r="D6" s="44" t="s">
        <v>104</v>
      </c>
      <c r="E6" s="45" t="s">
        <v>96</v>
      </c>
    </row>
    <row r="7" spans="1:5" ht="24" x14ac:dyDescent="0.2">
      <c r="A7" s="24">
        <v>0</v>
      </c>
      <c r="B7" s="27">
        <v>0.03</v>
      </c>
      <c r="C7" s="30">
        <v>0</v>
      </c>
      <c r="D7" s="35" t="s">
        <v>105</v>
      </c>
      <c r="E7" s="36" t="s">
        <v>99</v>
      </c>
    </row>
    <row r="8" spans="1:5" x14ac:dyDescent="0.2">
      <c r="A8" s="25">
        <v>36000</v>
      </c>
      <c r="B8" s="28">
        <v>0.1</v>
      </c>
      <c r="C8" s="31">
        <v>2520</v>
      </c>
      <c r="D8" s="37" t="s">
        <v>106</v>
      </c>
      <c r="E8" s="38" t="s">
        <v>107</v>
      </c>
    </row>
    <row r="9" spans="1:5" x14ac:dyDescent="0.2">
      <c r="A9" s="25">
        <v>144000</v>
      </c>
      <c r="B9" s="28">
        <v>0.2</v>
      </c>
      <c r="C9" s="31">
        <v>16920</v>
      </c>
      <c r="D9" s="37" t="s">
        <v>108</v>
      </c>
      <c r="E9" s="38" t="s">
        <v>107</v>
      </c>
    </row>
    <row r="10" spans="1:5" x14ac:dyDescent="0.2">
      <c r="A10" s="25">
        <v>300000</v>
      </c>
      <c r="B10" s="28">
        <v>0.25</v>
      </c>
      <c r="C10" s="31">
        <v>31920</v>
      </c>
      <c r="D10" s="37" t="s">
        <v>109</v>
      </c>
      <c r="E10" s="38" t="s">
        <v>107</v>
      </c>
    </row>
    <row r="11" spans="1:5" x14ac:dyDescent="0.2">
      <c r="A11" s="25">
        <v>420000</v>
      </c>
      <c r="B11" s="28">
        <v>0.3</v>
      </c>
      <c r="C11" s="31">
        <v>52920</v>
      </c>
      <c r="D11" s="37" t="s">
        <v>110</v>
      </c>
      <c r="E11" s="38" t="s">
        <v>107</v>
      </c>
    </row>
    <row r="12" spans="1:5" x14ac:dyDescent="0.2">
      <c r="A12" s="26">
        <v>660000</v>
      </c>
      <c r="B12" s="29">
        <v>0.35</v>
      </c>
      <c r="C12" s="32">
        <v>85920</v>
      </c>
      <c r="D12" s="39" t="s">
        <v>111</v>
      </c>
      <c r="E12" s="40" t="s">
        <v>107</v>
      </c>
    </row>
    <row r="13" spans="1:5" x14ac:dyDescent="0.2">
      <c r="A13" s="26">
        <v>960000</v>
      </c>
      <c r="B13" s="29">
        <v>0.45</v>
      </c>
      <c r="C13" s="32">
        <v>181920</v>
      </c>
      <c r="D13" s="39" t="s">
        <v>112</v>
      </c>
      <c r="E13" s="40" t="s">
        <v>107</v>
      </c>
    </row>
    <row r="14" spans="1:5" x14ac:dyDescent="0.2">
      <c r="A14" s="2"/>
      <c r="B14" s="2"/>
      <c r="C14" s="2"/>
      <c r="D14" s="2"/>
      <c r="E14" s="2"/>
    </row>
    <row r="15" spans="1:5" ht="24" x14ac:dyDescent="0.2">
      <c r="A15" s="2" t="s">
        <v>113</v>
      </c>
      <c r="B15" s="2"/>
      <c r="C15" s="2"/>
      <c r="D15" s="2" t="s">
        <v>114</v>
      </c>
      <c r="E15" s="2"/>
    </row>
  </sheetData>
  <mergeCells count="2">
    <mergeCell ref="A1:E1"/>
    <mergeCell ref="A5:E5"/>
  </mergeCells>
  <phoneticPr fontId="1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9"/>
  <sheetViews>
    <sheetView workbookViewId="0">
      <selection activeCell="D6" sqref="D6"/>
    </sheetView>
  </sheetViews>
  <sheetFormatPr defaultRowHeight="14.25" x14ac:dyDescent="0.2"/>
  <cols>
    <col min="1" max="1" width="22" customWidth="1"/>
    <col min="2" max="2" width="14" customWidth="1"/>
    <col min="3" max="3" width="18" customWidth="1"/>
    <col min="4" max="4" width="36" customWidth="1"/>
    <col min="5" max="5" width="16" customWidth="1"/>
    <col min="6" max="6" width="26" customWidth="1"/>
    <col min="7" max="7" width="20" customWidth="1"/>
    <col min="8" max="9" width="13" customWidth="1"/>
    <col min="10" max="10" width="10" customWidth="1"/>
  </cols>
  <sheetData>
    <row r="1" spans="1:10" ht="30" customHeight="1" x14ac:dyDescent="0.2">
      <c r="A1" s="101" t="s">
        <v>115</v>
      </c>
      <c r="B1" s="101"/>
      <c r="C1" s="101"/>
      <c r="D1" s="101"/>
      <c r="E1" s="101"/>
      <c r="F1" s="101"/>
      <c r="G1" s="101"/>
      <c r="H1" s="101"/>
      <c r="I1" s="101"/>
      <c r="J1" s="101"/>
    </row>
    <row r="3" spans="1:10" x14ac:dyDescent="0.2">
      <c r="A3" s="99" t="s">
        <v>116</v>
      </c>
      <c r="B3" s="99"/>
      <c r="C3" s="99"/>
      <c r="D3" s="99"/>
      <c r="F3" s="99" t="s">
        <v>117</v>
      </c>
      <c r="G3" s="99"/>
      <c r="H3" s="99"/>
      <c r="I3" s="99"/>
      <c r="J3" s="99"/>
    </row>
    <row r="4" spans="1:10" x14ac:dyDescent="0.2">
      <c r="A4" s="57" t="s">
        <v>118</v>
      </c>
      <c r="B4" s="58">
        <v>30</v>
      </c>
      <c r="C4" s="59" t="s">
        <v>119</v>
      </c>
      <c r="D4" s="60" t="s">
        <v>120</v>
      </c>
      <c r="F4" s="57" t="s">
        <v>121</v>
      </c>
      <c r="G4" s="67">
        <f>计算器!$F$21</f>
        <v>493344</v>
      </c>
      <c r="H4" s="60" t="s">
        <v>38</v>
      </c>
    </row>
    <row r="5" spans="1:10" x14ac:dyDescent="0.2">
      <c r="A5" s="61" t="s">
        <v>122</v>
      </c>
      <c r="B5" s="50">
        <v>30</v>
      </c>
      <c r="C5" s="2" t="s">
        <v>119</v>
      </c>
      <c r="D5" s="62" t="s">
        <v>123</v>
      </c>
      <c r="F5" s="61" t="s">
        <v>124</v>
      </c>
      <c r="G5" s="46">
        <f>计算器!$F$9</f>
        <v>41112</v>
      </c>
      <c r="H5" s="62" t="s">
        <v>4</v>
      </c>
    </row>
    <row r="6" spans="1:10" x14ac:dyDescent="0.2">
      <c r="A6" s="61" t="s">
        <v>125</v>
      </c>
      <c r="B6" s="50">
        <v>63</v>
      </c>
      <c r="C6" s="2" t="s">
        <v>119</v>
      </c>
      <c r="D6" s="62" t="s">
        <v>126</v>
      </c>
      <c r="F6" s="61" t="s">
        <v>48</v>
      </c>
      <c r="G6" s="46">
        <f>计算器!$F$24</f>
        <v>453928.80000000005</v>
      </c>
      <c r="H6" s="62" t="s">
        <v>38</v>
      </c>
    </row>
    <row r="7" spans="1:10" x14ac:dyDescent="0.2">
      <c r="A7" s="61" t="s">
        <v>127</v>
      </c>
      <c r="B7" s="50">
        <v>90</v>
      </c>
      <c r="C7" s="2" t="s">
        <v>119</v>
      </c>
      <c r="D7" s="62" t="s">
        <v>128</v>
      </c>
      <c r="F7" s="61" t="s">
        <v>129</v>
      </c>
      <c r="G7" s="52">
        <f>MAX(0,$B$6-$B$4)</f>
        <v>33</v>
      </c>
      <c r="H7" s="62" t="s">
        <v>130</v>
      </c>
    </row>
    <row r="8" spans="1:10" x14ac:dyDescent="0.2">
      <c r="A8" s="61" t="s">
        <v>131</v>
      </c>
      <c r="B8" s="51">
        <v>3.5000000000000003E-2</v>
      </c>
      <c r="C8" s="2" t="s">
        <v>130</v>
      </c>
      <c r="D8" s="62" t="s">
        <v>132</v>
      </c>
      <c r="F8" s="61" t="s">
        <v>133</v>
      </c>
      <c r="G8" s="52">
        <f>MAX(0,$B$7-$B$6)</f>
        <v>27</v>
      </c>
      <c r="H8" s="62" t="s">
        <v>130</v>
      </c>
    </row>
    <row r="9" spans="1:10" x14ac:dyDescent="0.2">
      <c r="A9" s="61" t="s">
        <v>134</v>
      </c>
      <c r="B9" s="51">
        <v>0.03</v>
      </c>
      <c r="C9" s="2" t="s">
        <v>130</v>
      </c>
      <c r="D9" s="62" t="s">
        <v>128</v>
      </c>
      <c r="F9" s="61" t="s">
        <v>135</v>
      </c>
      <c r="G9" s="52">
        <f>MAX(1,$B$6-$B$5)</f>
        <v>33</v>
      </c>
      <c r="H9" s="62" t="s">
        <v>130</v>
      </c>
    </row>
    <row r="10" spans="1:10" x14ac:dyDescent="0.2">
      <c r="A10" s="61" t="s">
        <v>136</v>
      </c>
      <c r="B10" s="51">
        <v>0.02</v>
      </c>
      <c r="C10" s="2" t="s">
        <v>130</v>
      </c>
      <c r="D10" s="62" t="s">
        <v>128</v>
      </c>
      <c r="F10" s="61" t="s">
        <v>137</v>
      </c>
      <c r="G10" s="7">
        <f>G4*(1+$B$9)^G7</f>
        <v>1308513.6758313361</v>
      </c>
      <c r="H10" s="62" t="s">
        <v>38</v>
      </c>
    </row>
    <row r="11" spans="1:10" x14ac:dyDescent="0.2">
      <c r="A11" s="61" t="s">
        <v>138</v>
      </c>
      <c r="B11" s="51">
        <v>0.35</v>
      </c>
      <c r="C11" s="2" t="s">
        <v>139</v>
      </c>
      <c r="D11" s="62" t="s">
        <v>140</v>
      </c>
      <c r="F11" s="61" t="s">
        <v>141</v>
      </c>
      <c r="G11" s="7">
        <f>G10*$B$11</f>
        <v>457979.78654096759</v>
      </c>
      <c r="H11" s="62" t="s">
        <v>38</v>
      </c>
    </row>
    <row r="12" spans="1:10" x14ac:dyDescent="0.2">
      <c r="A12" s="61" t="s">
        <v>142</v>
      </c>
      <c r="B12" s="51">
        <v>0.08</v>
      </c>
      <c r="C12" s="2" t="s">
        <v>143</v>
      </c>
      <c r="D12" s="62" t="s">
        <v>144</v>
      </c>
      <c r="F12" s="61" t="s">
        <v>145</v>
      </c>
      <c r="G12" s="7">
        <f>IF(G8&lt;=0,0,IF(ABS($B$8-$B$10)&lt;0.000001,G11*G8/(1+$B$8),G11*(1-((1+$B$10)/(1+$B$8))^G8)/($B$8-$B$10)))</f>
        <v>9946067.4879870173</v>
      </c>
      <c r="H12" s="62" t="s">
        <v>146</v>
      </c>
    </row>
    <row r="13" spans="1:10" x14ac:dyDescent="0.2">
      <c r="A13" s="63" t="s">
        <v>147</v>
      </c>
      <c r="B13" s="64">
        <v>0.02</v>
      </c>
      <c r="C13" s="65" t="s">
        <v>143</v>
      </c>
      <c r="D13" s="66" t="s">
        <v>148</v>
      </c>
      <c r="F13" s="61" t="s">
        <v>149</v>
      </c>
      <c r="G13" s="7">
        <f>G12/(1+$B$8)^G7</f>
        <v>3196096.3165343124</v>
      </c>
      <c r="H13" s="62" t="s">
        <v>146</v>
      </c>
    </row>
    <row r="14" spans="1:10" x14ac:dyDescent="0.2">
      <c r="F14" s="61" t="s">
        <v>150</v>
      </c>
      <c r="G14" s="7">
        <f>G13/G9</f>
        <v>96851.403531342803</v>
      </c>
      <c r="H14" s="62" t="s">
        <v>38</v>
      </c>
    </row>
    <row r="15" spans="1:10" x14ac:dyDescent="0.2">
      <c r="F15" s="61" t="s">
        <v>151</v>
      </c>
      <c r="G15" s="7">
        <f>G5*$B$12*12</f>
        <v>39467.520000000004</v>
      </c>
      <c r="H15" s="62" t="s">
        <v>38</v>
      </c>
    </row>
    <row r="16" spans="1:10" x14ac:dyDescent="0.2">
      <c r="F16" s="63" t="s">
        <v>152</v>
      </c>
      <c r="G16" s="68">
        <f>G5*$B$13*12</f>
        <v>9866.880000000001</v>
      </c>
      <c r="H16" s="66" t="s">
        <v>38</v>
      </c>
    </row>
    <row r="18" spans="1:10" x14ac:dyDescent="0.2">
      <c r="A18" s="99" t="s">
        <v>153</v>
      </c>
      <c r="B18" s="99"/>
      <c r="C18" s="99"/>
      <c r="D18" s="99"/>
      <c r="E18" s="99"/>
      <c r="G18" s="99" t="s">
        <v>154</v>
      </c>
      <c r="H18" s="99"/>
      <c r="I18" s="99"/>
      <c r="J18" s="99"/>
    </row>
    <row r="19" spans="1:10" x14ac:dyDescent="0.2">
      <c r="A19" s="69" t="s">
        <v>155</v>
      </c>
      <c r="B19" s="70" t="s">
        <v>156</v>
      </c>
      <c r="C19" s="70" t="s">
        <v>157</v>
      </c>
      <c r="D19" s="70" t="s">
        <v>158</v>
      </c>
      <c r="E19" s="71" t="s">
        <v>159</v>
      </c>
      <c r="G19" s="57" t="s">
        <v>48</v>
      </c>
      <c r="H19" s="67">
        <f>G6</f>
        <v>453928.80000000005</v>
      </c>
      <c r="I19" s="60" t="s">
        <v>38</v>
      </c>
    </row>
    <row r="20" spans="1:10" x14ac:dyDescent="0.2">
      <c r="A20" s="61" t="s">
        <v>160</v>
      </c>
      <c r="B20" s="51">
        <v>0.25</v>
      </c>
      <c r="C20" s="53">
        <v>8000</v>
      </c>
      <c r="D20" s="54">
        <v>1</v>
      </c>
      <c r="E20" s="72">
        <f>B20*C20*D20</f>
        <v>2000</v>
      </c>
      <c r="G20" s="61" t="s">
        <v>151</v>
      </c>
      <c r="H20" s="7">
        <f>G15</f>
        <v>39467.520000000004</v>
      </c>
      <c r="I20" s="62" t="s">
        <v>38</v>
      </c>
    </row>
    <row r="21" spans="1:10" x14ac:dyDescent="0.2">
      <c r="A21" s="61" t="s">
        <v>161</v>
      </c>
      <c r="B21" s="51">
        <v>0.05</v>
      </c>
      <c r="C21" s="53">
        <v>18000</v>
      </c>
      <c r="D21" s="54">
        <v>1</v>
      </c>
      <c r="E21" s="72">
        <f>B21*C21*D21</f>
        <v>900</v>
      </c>
      <c r="G21" s="61" t="s">
        <v>152</v>
      </c>
      <c r="H21" s="7">
        <f>G16</f>
        <v>9866.880000000001</v>
      </c>
      <c r="I21" s="62" t="s">
        <v>38</v>
      </c>
    </row>
    <row r="22" spans="1:10" x14ac:dyDescent="0.2">
      <c r="A22" s="61" t="s">
        <v>162</v>
      </c>
      <c r="B22" s="51">
        <v>5.0000000000000001E-3</v>
      </c>
      <c r="C22" s="53">
        <v>80000</v>
      </c>
      <c r="D22" s="54">
        <v>1</v>
      </c>
      <c r="E22" s="72">
        <f>B22*C22*D22</f>
        <v>400</v>
      </c>
      <c r="G22" s="61" t="s">
        <v>150</v>
      </c>
      <c r="H22" s="7">
        <f>G14</f>
        <v>96851.403531342803</v>
      </c>
      <c r="I22" s="62" t="s">
        <v>38</v>
      </c>
    </row>
    <row r="23" spans="1:10" x14ac:dyDescent="0.2">
      <c r="A23" s="61" t="s">
        <v>163</v>
      </c>
      <c r="B23" s="51">
        <v>0.03</v>
      </c>
      <c r="C23" s="53">
        <v>30000</v>
      </c>
      <c r="D23" s="54">
        <v>1</v>
      </c>
      <c r="E23" s="72">
        <f>B23*C23*D23</f>
        <v>900</v>
      </c>
      <c r="G23" s="61" t="s">
        <v>164</v>
      </c>
      <c r="H23" s="7">
        <f>E24</f>
        <v>4200</v>
      </c>
      <c r="I23" s="62" t="s">
        <v>38</v>
      </c>
    </row>
    <row r="24" spans="1:10" x14ac:dyDescent="0.2">
      <c r="A24" s="102" t="s">
        <v>165</v>
      </c>
      <c r="B24" s="103"/>
      <c r="C24" s="103"/>
      <c r="D24" s="103"/>
      <c r="E24" s="73">
        <f>SUM(E20:E23)</f>
        <v>4200</v>
      </c>
      <c r="G24" s="74" t="s">
        <v>74</v>
      </c>
      <c r="H24" s="55">
        <f>SUM(H20:H23)</f>
        <v>150385.80353134283</v>
      </c>
      <c r="I24" s="75" t="s">
        <v>38</v>
      </c>
    </row>
    <row r="25" spans="1:10" x14ac:dyDescent="0.2">
      <c r="G25" s="76" t="s">
        <v>76</v>
      </c>
      <c r="H25" s="56">
        <f>H19+H24</f>
        <v>604314.60353134293</v>
      </c>
      <c r="I25" s="77" t="s">
        <v>38</v>
      </c>
    </row>
    <row r="26" spans="1:10" x14ac:dyDescent="0.2">
      <c r="G26" s="76" t="s">
        <v>78</v>
      </c>
      <c r="H26" s="56">
        <f>IF(计算器!$B$16&lt;=0,0,H25/计算器!$B$16)</f>
        <v>50359.550294278575</v>
      </c>
      <c r="I26" s="77" t="s">
        <v>4</v>
      </c>
    </row>
    <row r="27" spans="1:10" x14ac:dyDescent="0.2">
      <c r="G27" s="57" t="s">
        <v>166</v>
      </c>
      <c r="H27" s="85">
        <f>IF(计算器!$F$21=0,0,H25/计算器!$F$21)</f>
        <v>1.2249355490922011</v>
      </c>
      <c r="I27" s="60" t="s">
        <v>167</v>
      </c>
    </row>
    <row r="28" spans="1:10" x14ac:dyDescent="0.2">
      <c r="G28" s="61" t="s">
        <v>61</v>
      </c>
      <c r="H28" s="46">
        <f>计算器!$F$28</f>
        <v>675881.28</v>
      </c>
      <c r="I28" s="62" t="s">
        <v>38</v>
      </c>
    </row>
    <row r="29" spans="1:10" x14ac:dyDescent="0.2">
      <c r="G29" s="63" t="s">
        <v>168</v>
      </c>
      <c r="H29" s="78">
        <f>IF(H28=0,0,H25/H28)</f>
        <v>0.89411353948335859</v>
      </c>
      <c r="I29" s="66" t="s">
        <v>167</v>
      </c>
    </row>
    <row r="34" spans="1:10" x14ac:dyDescent="0.2">
      <c r="A34" s="99" t="s">
        <v>169</v>
      </c>
      <c r="B34" s="99"/>
      <c r="C34" s="99"/>
      <c r="D34" s="99"/>
      <c r="E34" s="99"/>
      <c r="F34" s="99"/>
      <c r="G34" s="99"/>
      <c r="H34" s="99"/>
      <c r="I34" s="99"/>
      <c r="J34" s="99"/>
    </row>
    <row r="35" spans="1:10" ht="30.95" customHeight="1" x14ac:dyDescent="0.2">
      <c r="A35" s="69" t="s">
        <v>81</v>
      </c>
      <c r="B35" s="104" t="s">
        <v>170</v>
      </c>
      <c r="C35" s="104"/>
      <c r="D35" s="104"/>
      <c r="E35" s="104"/>
      <c r="F35" s="104"/>
      <c r="G35" s="104"/>
      <c r="H35" s="104"/>
      <c r="I35" s="104"/>
      <c r="J35" s="105"/>
    </row>
    <row r="36" spans="1:10" ht="30.95" customHeight="1" x14ac:dyDescent="0.2">
      <c r="A36" s="79" t="s">
        <v>83</v>
      </c>
      <c r="B36" s="94" t="s">
        <v>171</v>
      </c>
      <c r="C36" s="94"/>
      <c r="D36" s="94"/>
      <c r="E36" s="94"/>
      <c r="F36" s="94"/>
      <c r="G36" s="94"/>
      <c r="H36" s="94"/>
      <c r="I36" s="94"/>
      <c r="J36" s="106"/>
    </row>
    <row r="37" spans="1:10" ht="30.95" customHeight="1" x14ac:dyDescent="0.2">
      <c r="A37" s="79" t="s">
        <v>85</v>
      </c>
      <c r="B37" s="94" t="s">
        <v>172</v>
      </c>
      <c r="C37" s="94"/>
      <c r="D37" s="94"/>
      <c r="E37" s="94"/>
      <c r="F37" s="94"/>
      <c r="G37" s="94"/>
      <c r="H37" s="94"/>
      <c r="I37" s="94"/>
      <c r="J37" s="106"/>
    </row>
    <row r="38" spans="1:10" ht="30.95" customHeight="1" x14ac:dyDescent="0.2">
      <c r="A38" s="79" t="s">
        <v>87</v>
      </c>
      <c r="B38" s="94" t="s">
        <v>173</v>
      </c>
      <c r="C38" s="94"/>
      <c r="D38" s="94"/>
      <c r="E38" s="94"/>
      <c r="F38" s="94"/>
      <c r="G38" s="94"/>
      <c r="H38" s="94"/>
      <c r="I38" s="94"/>
      <c r="J38" s="106"/>
    </row>
    <row r="39" spans="1:10" ht="30.95" customHeight="1" x14ac:dyDescent="0.2">
      <c r="A39" s="80" t="s">
        <v>89</v>
      </c>
      <c r="B39" s="107" t="s">
        <v>174</v>
      </c>
      <c r="C39" s="107"/>
      <c r="D39" s="107"/>
      <c r="E39" s="107"/>
      <c r="F39" s="107"/>
      <c r="G39" s="107"/>
      <c r="H39" s="107"/>
      <c r="I39" s="107"/>
      <c r="J39" s="108"/>
    </row>
  </sheetData>
  <mergeCells count="12">
    <mergeCell ref="B39:J39"/>
    <mergeCell ref="A34:J34"/>
    <mergeCell ref="B35:J35"/>
    <mergeCell ref="B36:J36"/>
    <mergeCell ref="B37:J37"/>
    <mergeCell ref="B38:J38"/>
    <mergeCell ref="A1:J1"/>
    <mergeCell ref="A3:D3"/>
    <mergeCell ref="F3:J3"/>
    <mergeCell ref="A18:E18"/>
    <mergeCell ref="A24:D24"/>
    <mergeCell ref="G18:J18"/>
  </mergeCells>
  <phoneticPr fontId="16" type="noConversion"/>
  <conditionalFormatting sqref="B8:B13">
    <cfRule type="expression" dxfId="2" priority="1">
      <formula>OR(B8&lt;0,B8&gt;1)</formula>
    </cfRule>
  </conditionalFormatting>
  <conditionalFormatting sqref="B20:B23">
    <cfRule type="expression" dxfId="1" priority="2">
      <formula>OR(B20&lt;0,B20&gt;1)</formula>
    </cfRule>
  </conditionalFormatting>
  <conditionalFormatting sqref="D20:D23">
    <cfRule type="expression" dxfId="0" priority="3">
      <formula>OR(D20&lt;0,D20&gt;1)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计算器</vt:lpstr>
      <vt:lpstr>参数说明</vt:lpstr>
      <vt:lpstr>五险权益-激进口径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酱 金</cp:lastModifiedBy>
  <dcterms:modified xsi:type="dcterms:W3CDTF">2026-07-08T17:39:49Z</dcterms:modified>
</cp:coreProperties>
</file>